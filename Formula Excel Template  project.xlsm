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SQL\project\"/>
    </mc:Choice>
  </mc:AlternateContent>
  <xr:revisionPtr revIDLastSave="0" documentId="8_{CB053DF2-10FF-4156-89A7-D3405B651B8F}" xr6:coauthVersionLast="47" xr6:coauthVersionMax="47" xr10:uidLastSave="{00000000-0000-0000-0000-000000000000}"/>
  <bookViews>
    <workbookView xWindow="-120" yWindow="-120" windowWidth="20730" windowHeight="11160" tabRatio="705" firstSheet="3" activeTab="10" xr2:uid="{47981922-77C5-4EC3-A76E-98D6CE997DC2}"/>
  </bookViews>
  <sheets>
    <sheet name="Max-Min" sheetId="9" r:id="rId1"/>
    <sheet name="IF-IFS" sheetId="8" r:id="rId2"/>
    <sheet name="Len" sheetId="2" r:id="rId3"/>
    <sheet name="LeftRight" sheetId="4" r:id="rId4"/>
    <sheet name="DateToText" sheetId="3" r:id="rId5"/>
    <sheet name="TRIM" sheetId="6" r:id="rId6"/>
    <sheet name="Substitute" sheetId="7" r:id="rId7"/>
    <sheet name="Concatenate" sheetId="1" r:id="rId8"/>
    <sheet name="SUM-SumIF" sheetId="12" r:id="rId9"/>
    <sheet name="Count-CountIF" sheetId="5" r:id="rId10"/>
    <sheet name="Days-NetworkDays" sheetId="13" r:id="rId11"/>
  </sheets>
  <functionGroups builtInGroupCount="19"/>
  <definedNames>
    <definedName name="_xlnm._FilterDatabase" localSheetId="9" hidden="1">'Count-CountIF'!$A$1:$L$10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3" l="1"/>
  <c r="K4" i="13"/>
  <c r="K5" i="13"/>
  <c r="K6" i="13"/>
  <c r="K7" i="13"/>
  <c r="K8" i="13"/>
  <c r="K9" i="13"/>
  <c r="K10" i="13"/>
  <c r="K2" i="13"/>
  <c r="J9" i="13"/>
  <c r="J10" i="13"/>
  <c r="J3" i="13"/>
  <c r="J4" i="13"/>
  <c r="J5" i="13"/>
  <c r="J6" i="13"/>
  <c r="J7" i="13"/>
  <c r="J8" i="13"/>
  <c r="J2" i="13"/>
  <c r="L2" i="5"/>
  <c r="K2" i="5"/>
  <c r="J2" i="5"/>
  <c r="L2" i="12"/>
  <c r="K2" i="12"/>
  <c r="J2" i="12"/>
  <c r="K3" i="7"/>
  <c r="K4" i="7"/>
  <c r="K5" i="7"/>
  <c r="K6" i="7"/>
  <c r="K7" i="7"/>
  <c r="K8" i="7"/>
  <c r="K9" i="7"/>
  <c r="K10" i="7"/>
  <c r="K2" i="7"/>
  <c r="J3" i="7"/>
  <c r="J4" i="7"/>
  <c r="J5" i="7"/>
  <c r="J6" i="7"/>
  <c r="J7" i="7"/>
  <c r="J8" i="7"/>
  <c r="J9" i="7"/>
  <c r="J10" i="7"/>
  <c r="J2" i="7"/>
  <c r="L3" i="7"/>
  <c r="L4" i="7"/>
  <c r="L5" i="7"/>
  <c r="L6" i="7"/>
  <c r="L7" i="7"/>
  <c r="L8" i="7"/>
  <c r="L9" i="7"/>
  <c r="L10" i="7"/>
  <c r="L2" i="7"/>
  <c r="K3" i="1"/>
  <c r="K4" i="1"/>
  <c r="K5" i="1"/>
  <c r="K6" i="1"/>
  <c r="K7" i="1"/>
  <c r="K8" i="1"/>
  <c r="K9" i="1"/>
  <c r="K10" i="1"/>
  <c r="K2" i="1"/>
  <c r="J3" i="1"/>
  <c r="J4" i="1"/>
  <c r="J5" i="1"/>
  <c r="J6" i="1"/>
  <c r="J7" i="1"/>
  <c r="J8" i="1"/>
  <c r="J9" i="1"/>
  <c r="J10" i="1"/>
  <c r="J11" i="1"/>
  <c r="J12" i="1"/>
  <c r="J2" i="1"/>
  <c r="J3" i="6"/>
  <c r="J4" i="6"/>
  <c r="J5" i="6"/>
  <c r="J6" i="6"/>
  <c r="J7" i="6"/>
  <c r="J8" i="6"/>
  <c r="J9" i="6"/>
  <c r="J10" i="6"/>
  <c r="J2" i="6"/>
  <c r="J3" i="3"/>
  <c r="J4" i="3"/>
  <c r="J5" i="3"/>
  <c r="J6" i="3"/>
  <c r="J7" i="3"/>
  <c r="J8" i="3"/>
  <c r="J9" i="3"/>
  <c r="J10" i="3"/>
  <c r="J2" i="3"/>
  <c r="M3" i="4"/>
  <c r="M4" i="4"/>
  <c r="M5" i="4"/>
  <c r="M6" i="4"/>
  <c r="M7" i="4"/>
  <c r="M8" i="4"/>
  <c r="M9" i="4"/>
  <c r="M10" i="4"/>
  <c r="M2" i="4"/>
  <c r="L3" i="4"/>
  <c r="L4" i="4"/>
  <c r="L5" i="4"/>
  <c r="L6" i="4"/>
  <c r="L7" i="4"/>
  <c r="L8" i="4"/>
  <c r="L9" i="4"/>
  <c r="L10" i="4"/>
  <c r="L2" i="4"/>
  <c r="K3" i="4"/>
  <c r="K4" i="4"/>
  <c r="K5" i="4"/>
  <c r="K6" i="4"/>
  <c r="K7" i="4"/>
  <c r="K8" i="4"/>
  <c r="K9" i="4"/>
  <c r="K10" i="4"/>
  <c r="K2" i="4"/>
  <c r="J3" i="2"/>
  <c r="J4" i="2"/>
  <c r="J5" i="2"/>
  <c r="J6" i="2"/>
  <c r="J7" i="2"/>
  <c r="J8" i="2"/>
  <c r="J9" i="2"/>
  <c r="J10" i="2"/>
  <c r="J2" i="2"/>
  <c r="J3" i="8"/>
  <c r="J4" i="8"/>
  <c r="J5" i="8"/>
  <c r="J6" i="8"/>
  <c r="J7" i="8"/>
  <c r="J8" i="8"/>
  <c r="J9" i="8"/>
  <c r="J10" i="8"/>
  <c r="J2" i="8"/>
  <c r="J3" i="9"/>
  <c r="K3" i="9"/>
  <c r="K2" i="9"/>
  <c r="J2" i="9"/>
  <c r="H11" i="1"/>
  <c r="H12" i="1"/>
  <c r="K3" i="8"/>
  <c r="K7" i="8"/>
  <c r="K10" i="8"/>
  <c r="K4" i="8"/>
  <c r="K8" i="8"/>
  <c r="K5" i="8"/>
  <c r="K9" i="8"/>
  <c r="K6" i="8"/>
  <c r="K2" i="8"/>
</calcChain>
</file>

<file path=xl/sharedStrings.xml><?xml version="1.0" encoding="utf-8"?>
<sst xmlns="http://schemas.openxmlformats.org/spreadsheetml/2006/main" count="575" uniqueCount="93">
  <si>
    <t>FirstName</t>
  </si>
  <si>
    <t>LastName</t>
  </si>
  <si>
    <t>Jim</t>
  </si>
  <si>
    <t>Halpert</t>
  </si>
  <si>
    <t>Pam</t>
  </si>
  <si>
    <t>Beasley</t>
  </si>
  <si>
    <t>Dwight</t>
  </si>
  <si>
    <t>Schrute</t>
  </si>
  <si>
    <t>Michael</t>
  </si>
  <si>
    <t>Scott</t>
  </si>
  <si>
    <t>Kevin</t>
  </si>
  <si>
    <t>Malone</t>
  </si>
  <si>
    <t>Martin</t>
  </si>
  <si>
    <t>Angela</t>
  </si>
  <si>
    <t>Toby</t>
  </si>
  <si>
    <t>Flenderson</t>
  </si>
  <si>
    <t>Stanley</t>
  </si>
  <si>
    <t>Hudson</t>
  </si>
  <si>
    <t>CONCATENATE(B2," ",C2)</t>
  </si>
  <si>
    <t>LEN(B2)</t>
  </si>
  <si>
    <t>EmployeeID</t>
  </si>
  <si>
    <t>JobTitle</t>
  </si>
  <si>
    <t>Salary</t>
  </si>
  <si>
    <t>Age</t>
  </si>
  <si>
    <t>Gender</t>
  </si>
  <si>
    <t>Salesman</t>
  </si>
  <si>
    <t>Male</t>
  </si>
  <si>
    <t>Receptionist</t>
  </si>
  <si>
    <t>Female</t>
  </si>
  <si>
    <t>Accountant</t>
  </si>
  <si>
    <t>HR</t>
  </si>
  <si>
    <t>Regional Manager</t>
  </si>
  <si>
    <t>Supplier Relations</t>
  </si>
  <si>
    <t>Meredith</t>
  </si>
  <si>
    <t>Palmer</t>
  </si>
  <si>
    <t>Can be used to see difference between 100s and thousands. Can find bad Social Security numbers if they're 10 digits instead of 9</t>
  </si>
  <si>
    <t>StartDate</t>
  </si>
  <si>
    <t>EndDate</t>
  </si>
  <si>
    <t>Email</t>
  </si>
  <si>
    <t>Jim.Halpert@DunderMifflin.com</t>
  </si>
  <si>
    <t>Pam.Beasley@DunderMifflin.com</t>
  </si>
  <si>
    <t>Dwight.Schrute@AOL.com</t>
  </si>
  <si>
    <t>Angela.Martin@DunderMifflin.com</t>
  </si>
  <si>
    <t>Toby.Flenderson@DunderMifflinCorporate.com</t>
  </si>
  <si>
    <t>Michael.Scott@DunderMifflin.com</t>
  </si>
  <si>
    <t>Meredith.Palmer@Yahoo.com</t>
  </si>
  <si>
    <t>Stanley.Hudson@gmail.com</t>
  </si>
  <si>
    <t>Kevin.Malone@DunderMifflin.com</t>
  </si>
  <si>
    <t>11/2/2001</t>
  </si>
  <si>
    <t>10/3/1999</t>
  </si>
  <si>
    <t>7/4/2000</t>
  </si>
  <si>
    <t>1/5/2000</t>
  </si>
  <si>
    <t>5/6/2001</t>
  </si>
  <si>
    <t>11/8/2003</t>
  </si>
  <si>
    <t>6/9/2002</t>
  </si>
  <si>
    <t>8/10/2003</t>
  </si>
  <si>
    <t>9/6/2015</t>
  </si>
  <si>
    <t>10/10/2015</t>
  </si>
  <si>
    <t>9/8/2017</t>
  </si>
  <si>
    <t>12/3/2015</t>
  </si>
  <si>
    <t>8/30/2017</t>
  </si>
  <si>
    <t>9/11/2013</t>
  </si>
  <si>
    <t>4/22/2015</t>
  </si>
  <si>
    <t xml:space="preserve">Malone </t>
  </si>
  <si>
    <t xml:space="preserve">  Hudson</t>
  </si>
  <si>
    <t xml:space="preserve">   Scott</t>
  </si>
  <si>
    <t xml:space="preserve">Flenderson    </t>
  </si>
  <si>
    <t xml:space="preserve"> Schrute</t>
  </si>
  <si>
    <t>TRIM(C2)</t>
  </si>
  <si>
    <t>It just removes unwanted spaces on both sides</t>
  </si>
  <si>
    <t>TEXT(H2,"dd/mm/yyyy")</t>
  </si>
  <si>
    <t>with 1 instance</t>
  </si>
  <si>
    <t>with 2 instances</t>
  </si>
  <si>
    <t>with NO instances</t>
  </si>
  <si>
    <t>SUM</t>
  </si>
  <si>
    <t>SUMIF</t>
  </si>
  <si>
    <t>SUMIFS</t>
  </si>
  <si>
    <t>COUNT</t>
  </si>
  <si>
    <t>COUNTIF</t>
  </si>
  <si>
    <t>COUNTIFS</t>
  </si>
  <si>
    <t>Max</t>
  </si>
  <si>
    <t>Min</t>
  </si>
  <si>
    <t>IF</t>
  </si>
  <si>
    <t>IFS</t>
  </si>
  <si>
    <t>DAYS</t>
  </si>
  <si>
    <t>NETWORKDAYS</t>
  </si>
  <si>
    <t>Left</t>
  </si>
  <si>
    <t>Right</t>
  </si>
  <si>
    <t>"This custom function (IFS_2016) was developed using VBA to replicate the modern 'IFS' logic in Excel 2016
. It evaluates multiple conditions without the need for complex nested IF statements."</t>
  </si>
  <si>
    <t>E-MAIL</t>
  </si>
  <si>
    <t>5-6-2001</t>
  </si>
  <si>
    <t>6-9-2002</t>
  </si>
  <si>
    <t>5/6/2000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</si>
</sst>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d/mmm/yyyy;@"/>
    <numFmt numFmtId="165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D7546-D251-4908-B99A-2A3B4BFE22EA}">
  <sheetPr codeName="Sheet1">
    <tabColor theme="9"/>
  </sheetPr>
  <dimension ref="A1:K10"/>
  <sheetViews>
    <sheetView workbookViewId="0">
      <selection activeCell="G17" sqref="G17"/>
    </sheetView>
  </sheetViews>
  <sheetFormatPr defaultColWidth="13.7109375" defaultRowHeight="15" x14ac:dyDescent="0.25"/>
  <cols>
    <col min="1" max="1" width="11.7109375" bestFit="1" customWidth="1"/>
    <col min="4" max="4" width="7.7109375" customWidth="1"/>
    <col min="7" max="11" width="13.85546875" bestFit="1" customWidth="1"/>
  </cols>
  <sheetData>
    <row r="1" spans="1:11" x14ac:dyDescent="0.25">
      <c r="A1" t="s">
        <v>20</v>
      </c>
      <c r="B1" t="s">
        <v>0</v>
      </c>
      <c r="C1" t="s">
        <v>1</v>
      </c>
      <c r="D1" t="s">
        <v>23</v>
      </c>
      <c r="E1" t="s">
        <v>24</v>
      </c>
      <c r="F1" t="s">
        <v>21</v>
      </c>
      <c r="G1" t="s">
        <v>22</v>
      </c>
      <c r="H1" t="s">
        <v>36</v>
      </c>
      <c r="I1" t="s">
        <v>37</v>
      </c>
      <c r="J1" t="s">
        <v>80</v>
      </c>
      <c r="K1" t="s">
        <v>81</v>
      </c>
    </row>
    <row r="2" spans="1:11" x14ac:dyDescent="0.25">
      <c r="A2">
        <v>1001</v>
      </c>
      <c r="B2" t="s">
        <v>2</v>
      </c>
      <c r="C2" t="s">
        <v>3</v>
      </c>
      <c r="D2">
        <v>30</v>
      </c>
      <c r="E2" t="s">
        <v>26</v>
      </c>
      <c r="F2" t="s">
        <v>25</v>
      </c>
      <c r="G2" s="4">
        <v>45000</v>
      </c>
      <c r="H2" s="3">
        <v>37197</v>
      </c>
      <c r="I2" s="3">
        <v>42253</v>
      </c>
      <c r="J2" s="3">
        <f>MAX(H2:H10)</f>
        <v>37933</v>
      </c>
      <c r="K2" s="3">
        <f>MIN(H2:H10)</f>
        <v>35040</v>
      </c>
    </row>
    <row r="3" spans="1:11" x14ac:dyDescent="0.25">
      <c r="A3">
        <v>1002</v>
      </c>
      <c r="B3" t="s">
        <v>4</v>
      </c>
      <c r="C3" t="s">
        <v>5</v>
      </c>
      <c r="D3">
        <v>30</v>
      </c>
      <c r="E3" t="s">
        <v>28</v>
      </c>
      <c r="F3" t="s">
        <v>27</v>
      </c>
      <c r="G3" s="4">
        <v>36000</v>
      </c>
      <c r="H3" s="3">
        <v>36436</v>
      </c>
      <c r="I3" s="3">
        <v>42287</v>
      </c>
      <c r="J3">
        <f>MAX(G2:G10)</f>
        <v>65000</v>
      </c>
      <c r="K3">
        <f>MIN(G2:G10)</f>
        <v>36000</v>
      </c>
    </row>
    <row r="4" spans="1:11" x14ac:dyDescent="0.25">
      <c r="A4">
        <v>1003</v>
      </c>
      <c r="B4" t="s">
        <v>6</v>
      </c>
      <c r="C4" t="s">
        <v>7</v>
      </c>
      <c r="D4">
        <v>29</v>
      </c>
      <c r="E4" t="s">
        <v>26</v>
      </c>
      <c r="F4" t="s">
        <v>25</v>
      </c>
      <c r="G4" s="4">
        <v>63000</v>
      </c>
      <c r="H4" s="3">
        <v>36711</v>
      </c>
      <c r="I4" s="3">
        <v>42986</v>
      </c>
    </row>
    <row r="5" spans="1:11" x14ac:dyDescent="0.25">
      <c r="A5">
        <v>1004</v>
      </c>
      <c r="B5" t="s">
        <v>13</v>
      </c>
      <c r="C5" t="s">
        <v>12</v>
      </c>
      <c r="D5">
        <v>31</v>
      </c>
      <c r="E5" t="s">
        <v>28</v>
      </c>
      <c r="F5" t="s">
        <v>29</v>
      </c>
      <c r="G5" s="4">
        <v>47000</v>
      </c>
      <c r="H5" s="3">
        <v>36530</v>
      </c>
      <c r="I5" s="3">
        <v>42341</v>
      </c>
    </row>
    <row r="6" spans="1:11" x14ac:dyDescent="0.25">
      <c r="A6">
        <v>1005</v>
      </c>
      <c r="B6" t="s">
        <v>14</v>
      </c>
      <c r="C6" t="s">
        <v>15</v>
      </c>
      <c r="D6">
        <v>32</v>
      </c>
      <c r="E6" t="s">
        <v>26</v>
      </c>
      <c r="F6" t="s">
        <v>30</v>
      </c>
      <c r="G6" s="4">
        <v>50000</v>
      </c>
      <c r="H6" s="3">
        <v>37017</v>
      </c>
      <c r="I6" s="3">
        <v>42977</v>
      </c>
    </row>
    <row r="7" spans="1:11" x14ac:dyDescent="0.25">
      <c r="A7">
        <v>1006</v>
      </c>
      <c r="B7" t="s">
        <v>8</v>
      </c>
      <c r="C7" t="s">
        <v>9</v>
      </c>
      <c r="D7">
        <v>35</v>
      </c>
      <c r="E7" t="s">
        <v>26</v>
      </c>
      <c r="F7" t="s">
        <v>31</v>
      </c>
      <c r="G7" s="4">
        <v>65000</v>
      </c>
      <c r="H7" s="3">
        <v>35040</v>
      </c>
      <c r="I7" s="3">
        <v>41528</v>
      </c>
    </row>
    <row r="8" spans="1:11" x14ac:dyDescent="0.25">
      <c r="A8">
        <v>1007</v>
      </c>
      <c r="B8" t="s">
        <v>33</v>
      </c>
      <c r="C8" t="s">
        <v>34</v>
      </c>
      <c r="D8">
        <v>32</v>
      </c>
      <c r="E8" t="s">
        <v>28</v>
      </c>
      <c r="F8" t="s">
        <v>32</v>
      </c>
      <c r="G8" s="4">
        <v>41000</v>
      </c>
      <c r="H8" s="3">
        <v>37933</v>
      </c>
      <c r="I8" s="3">
        <v>41551</v>
      </c>
    </row>
    <row r="9" spans="1:11" x14ac:dyDescent="0.25">
      <c r="A9">
        <v>1008</v>
      </c>
      <c r="B9" t="s">
        <v>16</v>
      </c>
      <c r="C9" t="s">
        <v>17</v>
      </c>
      <c r="D9">
        <v>38</v>
      </c>
      <c r="E9" t="s">
        <v>26</v>
      </c>
      <c r="F9" t="s">
        <v>25</v>
      </c>
      <c r="G9" s="4">
        <v>48000</v>
      </c>
      <c r="H9" s="3">
        <v>37416</v>
      </c>
      <c r="I9" s="3">
        <v>42116</v>
      </c>
    </row>
    <row r="10" spans="1:11" x14ac:dyDescent="0.25">
      <c r="A10">
        <v>1009</v>
      </c>
      <c r="B10" t="s">
        <v>10</v>
      </c>
      <c r="C10" t="s">
        <v>11</v>
      </c>
      <c r="D10">
        <v>31</v>
      </c>
      <c r="E10" t="s">
        <v>26</v>
      </c>
      <c r="F10" t="s">
        <v>29</v>
      </c>
      <c r="G10" s="4">
        <v>42000</v>
      </c>
      <c r="H10" s="3">
        <v>37843</v>
      </c>
      <c r="I10" s="3">
        <v>40800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F3BB1-397D-4AFC-8E96-ABE0D0515A1B}">
  <sheetPr codeName="Sheet2">
    <tabColor theme="9"/>
  </sheetPr>
  <dimension ref="A1:L10"/>
  <sheetViews>
    <sheetView workbookViewId="0">
      <selection activeCell="L1" sqref="L1"/>
    </sheetView>
  </sheetViews>
  <sheetFormatPr defaultColWidth="13.7109375" defaultRowHeight="15" x14ac:dyDescent="0.25"/>
  <cols>
    <col min="1" max="1" width="10.7109375" bestFit="1" customWidth="1"/>
    <col min="4" max="4" width="7.7109375" customWidth="1"/>
    <col min="11" max="11" width="18.85546875" customWidth="1"/>
    <col min="12" max="12" width="97.5703125" bestFit="1" customWidth="1"/>
  </cols>
  <sheetData>
    <row r="1" spans="1:12" ht="30" x14ac:dyDescent="0.25">
      <c r="A1" t="s">
        <v>20</v>
      </c>
      <c r="B1" t="s">
        <v>0</v>
      </c>
      <c r="C1" t="s">
        <v>1</v>
      </c>
      <c r="D1" t="s">
        <v>23</v>
      </c>
      <c r="E1" t="s">
        <v>24</v>
      </c>
      <c r="F1" t="s">
        <v>21</v>
      </c>
      <c r="G1" t="s">
        <v>22</v>
      </c>
      <c r="H1" t="s">
        <v>36</v>
      </c>
      <c r="I1" t="s">
        <v>37</v>
      </c>
      <c r="J1" t="s">
        <v>82</v>
      </c>
      <c r="K1" t="s">
        <v>83</v>
      </c>
      <c r="L1" s="5" t="s">
        <v>88</v>
      </c>
    </row>
    <row r="2" spans="1:12" x14ac:dyDescent="0.25">
      <c r="A2">
        <v>1001</v>
      </c>
      <c r="B2" t="s">
        <v>2</v>
      </c>
      <c r="C2" t="s">
        <v>3</v>
      </c>
      <c r="D2">
        <v>30</v>
      </c>
      <c r="E2" t="s">
        <v>26</v>
      </c>
      <c r="F2" t="s">
        <v>25</v>
      </c>
      <c r="G2">
        <v>45000</v>
      </c>
      <c r="H2" s="1">
        <v>37197</v>
      </c>
      <c r="I2" s="1">
        <v>42253</v>
      </c>
      <c r="J2" t="str">
        <f>IF(D2&gt;30,"old","young")</f>
        <v>young</v>
      </c>
      <c r="K2" t="str">
        <f>IFS_2016(F2="SALESMAN","SALES",F2="HR","FIRE",F2="REGIONAL MANAGER","BOUNES")</f>
        <v>SALES</v>
      </c>
    </row>
    <row r="3" spans="1:12" x14ac:dyDescent="0.25">
      <c r="A3">
        <v>1002</v>
      </c>
      <c r="B3" t="s">
        <v>4</v>
      </c>
      <c r="C3" t="s">
        <v>5</v>
      </c>
      <c r="D3">
        <v>30</v>
      </c>
      <c r="E3" t="s">
        <v>28</v>
      </c>
      <c r="F3" t="s">
        <v>27</v>
      </c>
      <c r="G3">
        <v>36000</v>
      </c>
      <c r="H3" s="1">
        <v>36436</v>
      </c>
      <c r="I3" s="1">
        <v>42287</v>
      </c>
      <c r="J3" t="str">
        <f t="shared" ref="J3:J10" si="0">IF(D3&gt;30,"old","young")</f>
        <v>young</v>
      </c>
      <c r="K3" t="e">
        <f t="shared" ref="K3:K10" si="1">IFS_2016(F3="SALESMAN","SALES",F3="HR","FIRE",F3="REGIONAL MANAGER","BOUNES")</f>
        <v>#N/A</v>
      </c>
    </row>
    <row r="4" spans="1:12" x14ac:dyDescent="0.25">
      <c r="A4">
        <v>1003</v>
      </c>
      <c r="B4" t="s">
        <v>6</v>
      </c>
      <c r="C4" t="s">
        <v>7</v>
      </c>
      <c r="D4">
        <v>29</v>
      </c>
      <c r="E4" t="s">
        <v>26</v>
      </c>
      <c r="F4" t="s">
        <v>25</v>
      </c>
      <c r="G4">
        <v>63000</v>
      </c>
      <c r="H4" s="1">
        <v>36711</v>
      </c>
      <c r="I4" s="1">
        <v>42986</v>
      </c>
      <c r="J4" t="str">
        <f t="shared" si="0"/>
        <v>young</v>
      </c>
      <c r="K4" t="str">
        <f t="shared" si="1"/>
        <v>SALES</v>
      </c>
    </row>
    <row r="5" spans="1:12" x14ac:dyDescent="0.25">
      <c r="A5">
        <v>1004</v>
      </c>
      <c r="B5" t="s">
        <v>13</v>
      </c>
      <c r="C5" t="s">
        <v>12</v>
      </c>
      <c r="D5">
        <v>31</v>
      </c>
      <c r="E5" t="s">
        <v>28</v>
      </c>
      <c r="F5" t="s">
        <v>29</v>
      </c>
      <c r="G5">
        <v>47000</v>
      </c>
      <c r="H5" s="1">
        <v>36530</v>
      </c>
      <c r="I5" s="1">
        <v>42341</v>
      </c>
      <c r="J5" t="str">
        <f t="shared" si="0"/>
        <v>old</v>
      </c>
      <c r="K5" t="e">
        <f t="shared" si="1"/>
        <v>#N/A</v>
      </c>
    </row>
    <row r="6" spans="1:12" x14ac:dyDescent="0.25">
      <c r="A6">
        <v>1005</v>
      </c>
      <c r="B6" t="s">
        <v>14</v>
      </c>
      <c r="C6" t="s">
        <v>15</v>
      </c>
      <c r="D6">
        <v>32</v>
      </c>
      <c r="E6" t="s">
        <v>26</v>
      </c>
      <c r="F6" t="s">
        <v>30</v>
      </c>
      <c r="G6">
        <v>50000</v>
      </c>
      <c r="H6" s="1">
        <v>37017</v>
      </c>
      <c r="I6" s="1">
        <v>42977</v>
      </c>
      <c r="J6" t="str">
        <f t="shared" si="0"/>
        <v>old</v>
      </c>
      <c r="K6" t="str">
        <f t="shared" si="1"/>
        <v>FIRE</v>
      </c>
    </row>
    <row r="7" spans="1:12" x14ac:dyDescent="0.25">
      <c r="A7">
        <v>1006</v>
      </c>
      <c r="B7" t="s">
        <v>8</v>
      </c>
      <c r="C7" t="s">
        <v>9</v>
      </c>
      <c r="D7">
        <v>35</v>
      </c>
      <c r="E7" t="s">
        <v>26</v>
      </c>
      <c r="F7" t="s">
        <v>31</v>
      </c>
      <c r="G7">
        <v>65000</v>
      </c>
      <c r="H7" s="1">
        <v>35040</v>
      </c>
      <c r="I7" s="1">
        <v>41528</v>
      </c>
      <c r="J7" t="str">
        <f t="shared" si="0"/>
        <v>old</v>
      </c>
      <c r="K7" t="str">
        <f t="shared" si="1"/>
        <v>BOUNES</v>
      </c>
    </row>
    <row r="8" spans="1:12" x14ac:dyDescent="0.25">
      <c r="A8">
        <v>1007</v>
      </c>
      <c r="B8" t="s">
        <v>33</v>
      </c>
      <c r="C8" t="s">
        <v>34</v>
      </c>
      <c r="D8">
        <v>32</v>
      </c>
      <c r="E8" t="s">
        <v>28</v>
      </c>
      <c r="F8" t="s">
        <v>32</v>
      </c>
      <c r="G8">
        <v>41000</v>
      </c>
      <c r="H8" s="1">
        <v>37933</v>
      </c>
      <c r="I8" s="1">
        <v>41551</v>
      </c>
      <c r="J8" t="str">
        <f t="shared" si="0"/>
        <v>old</v>
      </c>
      <c r="K8" t="e">
        <f t="shared" si="1"/>
        <v>#N/A</v>
      </c>
    </row>
    <row r="9" spans="1:12" x14ac:dyDescent="0.25">
      <c r="A9">
        <v>1008</v>
      </c>
      <c r="B9" t="s">
        <v>16</v>
      </c>
      <c r="C9" t="s">
        <v>17</v>
      </c>
      <c r="D9">
        <v>38</v>
      </c>
      <c r="E9" t="s">
        <v>26</v>
      </c>
      <c r="F9" t="s">
        <v>25</v>
      </c>
      <c r="G9">
        <v>48000</v>
      </c>
      <c r="H9" s="1">
        <v>37416</v>
      </c>
      <c r="I9" s="1">
        <v>42116</v>
      </c>
      <c r="J9" t="str">
        <f t="shared" si="0"/>
        <v>old</v>
      </c>
      <c r="K9" t="str">
        <f t="shared" si="1"/>
        <v>SALES</v>
      </c>
    </row>
    <row r="10" spans="1:12" x14ac:dyDescent="0.25">
      <c r="A10">
        <v>1009</v>
      </c>
      <c r="B10" t="s">
        <v>10</v>
      </c>
      <c r="C10" t="s">
        <v>11</v>
      </c>
      <c r="D10">
        <v>31</v>
      </c>
      <c r="E10" t="s">
        <v>26</v>
      </c>
      <c r="F10" t="s">
        <v>29</v>
      </c>
      <c r="G10">
        <v>42000</v>
      </c>
      <c r="H10" s="1">
        <v>37843</v>
      </c>
      <c r="I10" s="1">
        <v>40800</v>
      </c>
      <c r="J10" t="str">
        <f t="shared" si="0"/>
        <v>old</v>
      </c>
      <c r="K10" t="e">
        <f t="shared" si="1"/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B4A2A-B2F2-4EC9-9616-29355E7995DC}">
  <sheetPr codeName="Sheet3">
    <tabColor theme="9"/>
  </sheetPr>
  <dimension ref="A1:L10"/>
  <sheetViews>
    <sheetView workbookViewId="0">
      <selection activeCell="J2" sqref="J2:J10"/>
    </sheetView>
  </sheetViews>
  <sheetFormatPr defaultColWidth="10.85546875" defaultRowHeight="15" x14ac:dyDescent="0.25"/>
  <cols>
    <col min="1" max="1" width="10.7109375" bestFit="1" customWidth="1"/>
    <col min="6" max="6" width="17.42578125" bestFit="1" customWidth="1"/>
  </cols>
  <sheetData>
    <row r="1" spans="1:12" x14ac:dyDescent="0.25">
      <c r="A1" t="s">
        <v>20</v>
      </c>
      <c r="B1" t="s">
        <v>0</v>
      </c>
      <c r="C1" t="s">
        <v>1</v>
      </c>
      <c r="D1" t="s">
        <v>23</v>
      </c>
      <c r="E1" t="s">
        <v>24</v>
      </c>
      <c r="F1" t="s">
        <v>21</v>
      </c>
      <c r="G1" t="s">
        <v>22</v>
      </c>
      <c r="H1" t="s">
        <v>36</v>
      </c>
      <c r="I1" t="s">
        <v>37</v>
      </c>
      <c r="J1" t="s">
        <v>19</v>
      </c>
      <c r="L1" t="s">
        <v>35</v>
      </c>
    </row>
    <row r="2" spans="1:12" x14ac:dyDescent="0.25">
      <c r="A2">
        <v>1001</v>
      </c>
      <c r="B2" t="s">
        <v>2</v>
      </c>
      <c r="C2" t="s">
        <v>3</v>
      </c>
      <c r="D2">
        <v>30</v>
      </c>
      <c r="E2" t="s">
        <v>26</v>
      </c>
      <c r="F2" t="s">
        <v>25</v>
      </c>
      <c r="G2">
        <v>45000</v>
      </c>
      <c r="H2" s="1">
        <v>37197</v>
      </c>
      <c r="I2" s="1">
        <v>42253</v>
      </c>
      <c r="J2">
        <f>LEN(C2)</f>
        <v>7</v>
      </c>
    </row>
    <row r="3" spans="1:12" x14ac:dyDescent="0.25">
      <c r="A3">
        <v>1002</v>
      </c>
      <c r="B3" t="s">
        <v>4</v>
      </c>
      <c r="C3" t="s">
        <v>5</v>
      </c>
      <c r="D3">
        <v>30</v>
      </c>
      <c r="E3" t="s">
        <v>28</v>
      </c>
      <c r="F3" t="s">
        <v>27</v>
      </c>
      <c r="G3">
        <v>36000</v>
      </c>
      <c r="H3" s="1">
        <v>36436</v>
      </c>
      <c r="I3" s="1">
        <v>42287</v>
      </c>
      <c r="J3">
        <f t="shared" ref="J3:J10" si="0">LEN(C3)</f>
        <v>7</v>
      </c>
    </row>
    <row r="4" spans="1:12" x14ac:dyDescent="0.25">
      <c r="A4">
        <v>1003</v>
      </c>
      <c r="B4" t="s">
        <v>6</v>
      </c>
      <c r="C4" t="s">
        <v>7</v>
      </c>
      <c r="D4">
        <v>29</v>
      </c>
      <c r="E4" t="s">
        <v>26</v>
      </c>
      <c r="F4" t="s">
        <v>25</v>
      </c>
      <c r="G4">
        <v>63000</v>
      </c>
      <c r="H4" s="1">
        <v>36711</v>
      </c>
      <c r="I4" s="1">
        <v>42986</v>
      </c>
      <c r="J4">
        <f t="shared" si="0"/>
        <v>7</v>
      </c>
    </row>
    <row r="5" spans="1:12" x14ac:dyDescent="0.25">
      <c r="A5">
        <v>1004</v>
      </c>
      <c r="B5" t="s">
        <v>13</v>
      </c>
      <c r="C5" t="s">
        <v>12</v>
      </c>
      <c r="D5">
        <v>31</v>
      </c>
      <c r="E5" t="s">
        <v>28</v>
      </c>
      <c r="F5" t="s">
        <v>29</v>
      </c>
      <c r="G5">
        <v>47000</v>
      </c>
      <c r="H5" s="1">
        <v>36530</v>
      </c>
      <c r="I5" s="1">
        <v>42341</v>
      </c>
      <c r="J5">
        <f t="shared" si="0"/>
        <v>6</v>
      </c>
    </row>
    <row r="6" spans="1:12" x14ac:dyDescent="0.25">
      <c r="A6">
        <v>1005</v>
      </c>
      <c r="B6" t="s">
        <v>14</v>
      </c>
      <c r="C6" t="s">
        <v>15</v>
      </c>
      <c r="D6">
        <v>32</v>
      </c>
      <c r="E6" t="s">
        <v>26</v>
      </c>
      <c r="F6" t="s">
        <v>30</v>
      </c>
      <c r="G6">
        <v>50000</v>
      </c>
      <c r="H6" s="1">
        <v>37017</v>
      </c>
      <c r="I6" s="1">
        <v>42977</v>
      </c>
      <c r="J6">
        <f t="shared" si="0"/>
        <v>10</v>
      </c>
    </row>
    <row r="7" spans="1:12" x14ac:dyDescent="0.25">
      <c r="A7">
        <v>1006</v>
      </c>
      <c r="B7" t="s">
        <v>8</v>
      </c>
      <c r="C7" t="s">
        <v>9</v>
      </c>
      <c r="D7">
        <v>35</v>
      </c>
      <c r="E7" t="s">
        <v>26</v>
      </c>
      <c r="F7" t="s">
        <v>31</v>
      </c>
      <c r="G7">
        <v>65000</v>
      </c>
      <c r="H7" s="1">
        <v>35040</v>
      </c>
      <c r="I7" s="1">
        <v>41528</v>
      </c>
      <c r="J7">
        <f t="shared" si="0"/>
        <v>5</v>
      </c>
    </row>
    <row r="8" spans="1:12" x14ac:dyDescent="0.25">
      <c r="A8">
        <v>1007</v>
      </c>
      <c r="B8" t="s">
        <v>33</v>
      </c>
      <c r="C8" t="s">
        <v>34</v>
      </c>
      <c r="D8">
        <v>32</v>
      </c>
      <c r="E8" t="s">
        <v>28</v>
      </c>
      <c r="F8" t="s">
        <v>32</v>
      </c>
      <c r="G8">
        <v>41000</v>
      </c>
      <c r="H8" s="1">
        <v>37933</v>
      </c>
      <c r="I8" s="1">
        <v>41551</v>
      </c>
      <c r="J8">
        <f t="shared" si="0"/>
        <v>6</v>
      </c>
    </row>
    <row r="9" spans="1:12" x14ac:dyDescent="0.25">
      <c r="A9">
        <v>1008</v>
      </c>
      <c r="B9" t="s">
        <v>16</v>
      </c>
      <c r="C9" t="s">
        <v>17</v>
      </c>
      <c r="D9">
        <v>38</v>
      </c>
      <c r="E9" t="s">
        <v>26</v>
      </c>
      <c r="F9" t="s">
        <v>25</v>
      </c>
      <c r="G9">
        <v>48000</v>
      </c>
      <c r="H9" s="1">
        <v>37416</v>
      </c>
      <c r="I9" s="1">
        <v>42116</v>
      </c>
      <c r="J9">
        <f t="shared" si="0"/>
        <v>6</v>
      </c>
    </row>
    <row r="10" spans="1:12" x14ac:dyDescent="0.25">
      <c r="A10">
        <v>1009</v>
      </c>
      <c r="B10" t="s">
        <v>10</v>
      </c>
      <c r="C10" t="s">
        <v>11</v>
      </c>
      <c r="D10">
        <v>31</v>
      </c>
      <c r="E10" t="s">
        <v>26</v>
      </c>
      <c r="F10" t="s">
        <v>29</v>
      </c>
      <c r="G10">
        <v>42000</v>
      </c>
      <c r="H10" s="1">
        <v>37843</v>
      </c>
      <c r="I10" s="1">
        <v>40800</v>
      </c>
      <c r="J10">
        <f t="shared" si="0"/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54FE-DA24-43B2-AD9D-17E8CC017065}">
  <sheetPr codeName="Sheet4">
    <tabColor theme="9"/>
  </sheetPr>
  <dimension ref="A1:M10"/>
  <sheetViews>
    <sheetView topLeftCell="C1" workbookViewId="0">
      <selection activeCell="L15" sqref="L15"/>
    </sheetView>
  </sheetViews>
  <sheetFormatPr defaultColWidth="14.5703125" defaultRowHeight="15" x14ac:dyDescent="0.25"/>
  <cols>
    <col min="4" max="4" width="8" customWidth="1"/>
    <col min="10" max="10" width="44.5703125" bestFit="1" customWidth="1"/>
  </cols>
  <sheetData>
    <row r="1" spans="1:13" x14ac:dyDescent="0.25">
      <c r="A1" t="s">
        <v>20</v>
      </c>
      <c r="B1" t="s">
        <v>0</v>
      </c>
      <c r="C1" t="s">
        <v>1</v>
      </c>
      <c r="D1" t="s">
        <v>23</v>
      </c>
      <c r="E1" t="s">
        <v>24</v>
      </c>
      <c r="F1" t="s">
        <v>21</v>
      </c>
      <c r="G1" t="s">
        <v>22</v>
      </c>
      <c r="H1" t="s">
        <v>36</v>
      </c>
      <c r="I1" t="s">
        <v>37</v>
      </c>
      <c r="J1" t="s">
        <v>38</v>
      </c>
      <c r="K1" t="s">
        <v>86</v>
      </c>
      <c r="L1" t="s">
        <v>87</v>
      </c>
      <c r="M1" t="s">
        <v>87</v>
      </c>
    </row>
    <row r="2" spans="1:13" x14ac:dyDescent="0.25">
      <c r="A2">
        <v>1001</v>
      </c>
      <c r="B2" t="s">
        <v>2</v>
      </c>
      <c r="C2" t="s">
        <v>3</v>
      </c>
      <c r="D2">
        <v>30</v>
      </c>
      <c r="E2" t="s">
        <v>26</v>
      </c>
      <c r="F2" t="s">
        <v>25</v>
      </c>
      <c r="G2">
        <v>45000</v>
      </c>
      <c r="H2" s="2" t="s">
        <v>48</v>
      </c>
      <c r="I2" s="2" t="s">
        <v>56</v>
      </c>
      <c r="J2" s="1" t="s">
        <v>39</v>
      </c>
      <c r="K2" t="str">
        <f>LEFT(J2,3)</f>
        <v>Jim</v>
      </c>
      <c r="L2" t="str">
        <f>RIGHT(J2,10)</f>
        <v>ifflin.com</v>
      </c>
      <c r="M2" t="str">
        <f>RIGHT(I2:I10,4)</f>
        <v>2015</v>
      </c>
    </row>
    <row r="3" spans="1:13" x14ac:dyDescent="0.25">
      <c r="A3">
        <v>1002</v>
      </c>
      <c r="B3" t="s">
        <v>4</v>
      </c>
      <c r="C3" t="s">
        <v>5</v>
      </c>
      <c r="D3">
        <v>30</v>
      </c>
      <c r="E3" t="s">
        <v>28</v>
      </c>
      <c r="F3" t="s">
        <v>27</v>
      </c>
      <c r="G3">
        <v>36000</v>
      </c>
      <c r="H3" s="2" t="s">
        <v>49</v>
      </c>
      <c r="I3" s="2" t="s">
        <v>57</v>
      </c>
      <c r="J3" s="1" t="s">
        <v>40</v>
      </c>
      <c r="K3" t="str">
        <f t="shared" ref="K3:K10" si="0">LEFT(J3,3)</f>
        <v>Pam</v>
      </c>
      <c r="L3" t="str">
        <f t="shared" ref="L3:L10" si="1">RIGHT(J3,10)</f>
        <v>ifflin.com</v>
      </c>
      <c r="M3" t="str">
        <f t="shared" ref="M3:M10" si="2">RIGHT(I3:I11,4)</f>
        <v>2015</v>
      </c>
    </row>
    <row r="4" spans="1:13" x14ac:dyDescent="0.25">
      <c r="A4">
        <v>1003</v>
      </c>
      <c r="B4" t="s">
        <v>6</v>
      </c>
      <c r="C4" t="s">
        <v>7</v>
      </c>
      <c r="D4">
        <v>29</v>
      </c>
      <c r="E4" t="s">
        <v>26</v>
      </c>
      <c r="F4" t="s">
        <v>25</v>
      </c>
      <c r="G4">
        <v>63000</v>
      </c>
      <c r="H4" s="2" t="s">
        <v>50</v>
      </c>
      <c r="I4" s="2" t="s">
        <v>58</v>
      </c>
      <c r="J4" s="1" t="s">
        <v>41</v>
      </c>
      <c r="K4" t="str">
        <f t="shared" si="0"/>
        <v>Dwi</v>
      </c>
      <c r="L4" t="str">
        <f t="shared" si="1"/>
        <v>te@AOL.com</v>
      </c>
      <c r="M4" t="str">
        <f t="shared" si="2"/>
        <v>2017</v>
      </c>
    </row>
    <row r="5" spans="1:13" x14ac:dyDescent="0.25">
      <c r="A5">
        <v>1004</v>
      </c>
      <c r="B5" t="s">
        <v>13</v>
      </c>
      <c r="C5" t="s">
        <v>12</v>
      </c>
      <c r="D5">
        <v>31</v>
      </c>
      <c r="E5" t="s">
        <v>28</v>
      </c>
      <c r="F5" t="s">
        <v>29</v>
      </c>
      <c r="G5">
        <v>47000</v>
      </c>
      <c r="H5" s="2" t="s">
        <v>51</v>
      </c>
      <c r="I5" s="2" t="s">
        <v>59</v>
      </c>
      <c r="J5" s="1" t="s">
        <v>42</v>
      </c>
      <c r="K5" t="str">
        <f t="shared" si="0"/>
        <v>Ang</v>
      </c>
      <c r="L5" t="str">
        <f t="shared" si="1"/>
        <v>ifflin.com</v>
      </c>
      <c r="M5" t="str">
        <f t="shared" si="2"/>
        <v>2015</v>
      </c>
    </row>
    <row r="6" spans="1:13" x14ac:dyDescent="0.25">
      <c r="A6">
        <v>1005</v>
      </c>
      <c r="B6" t="s">
        <v>14</v>
      </c>
      <c r="C6" t="s">
        <v>15</v>
      </c>
      <c r="D6">
        <v>32</v>
      </c>
      <c r="E6" t="s">
        <v>26</v>
      </c>
      <c r="F6" t="s">
        <v>30</v>
      </c>
      <c r="G6">
        <v>50000</v>
      </c>
      <c r="H6" s="2" t="s">
        <v>52</v>
      </c>
      <c r="I6" s="2" t="s">
        <v>60</v>
      </c>
      <c r="J6" s="1" t="s">
        <v>43</v>
      </c>
      <c r="K6" t="str">
        <f t="shared" si="0"/>
        <v>Tob</v>
      </c>
      <c r="L6" t="str">
        <f t="shared" si="1"/>
        <v>porate.com</v>
      </c>
      <c r="M6" t="str">
        <f t="shared" si="2"/>
        <v>2017</v>
      </c>
    </row>
    <row r="7" spans="1:13" x14ac:dyDescent="0.25">
      <c r="A7">
        <v>1006</v>
      </c>
      <c r="B7" t="s">
        <v>8</v>
      </c>
      <c r="C7" t="s">
        <v>9</v>
      </c>
      <c r="D7">
        <v>35</v>
      </c>
      <c r="E7" t="s">
        <v>26</v>
      </c>
      <c r="F7" t="s">
        <v>31</v>
      </c>
      <c r="G7">
        <v>65000</v>
      </c>
      <c r="H7" s="2" t="s">
        <v>52</v>
      </c>
      <c r="I7" s="2" t="s">
        <v>61</v>
      </c>
      <c r="J7" s="1" t="s">
        <v>44</v>
      </c>
      <c r="K7" t="str">
        <f t="shared" si="0"/>
        <v>Mic</v>
      </c>
      <c r="L7" t="str">
        <f t="shared" si="1"/>
        <v>ifflin.com</v>
      </c>
      <c r="M7" t="str">
        <f t="shared" si="2"/>
        <v>2013</v>
      </c>
    </row>
    <row r="8" spans="1:13" x14ac:dyDescent="0.25">
      <c r="A8">
        <v>1007</v>
      </c>
      <c r="B8" t="s">
        <v>33</v>
      </c>
      <c r="C8" t="s">
        <v>34</v>
      </c>
      <c r="D8">
        <v>32</v>
      </c>
      <c r="E8" t="s">
        <v>28</v>
      </c>
      <c r="F8" t="s">
        <v>32</v>
      </c>
      <c r="G8">
        <v>41000</v>
      </c>
      <c r="H8" s="2" t="s">
        <v>53</v>
      </c>
      <c r="I8" s="2" t="s">
        <v>61</v>
      </c>
      <c r="J8" s="1" t="s">
        <v>45</v>
      </c>
      <c r="K8" t="str">
        <f t="shared" si="0"/>
        <v>Mer</v>
      </c>
      <c r="L8" t="str">
        <f t="shared" si="1"/>
        <v>@Yahoo.com</v>
      </c>
      <c r="M8" t="str">
        <f t="shared" si="2"/>
        <v>2013</v>
      </c>
    </row>
    <row r="9" spans="1:13" x14ac:dyDescent="0.25">
      <c r="A9">
        <v>1008</v>
      </c>
      <c r="B9" t="s">
        <v>16</v>
      </c>
      <c r="C9" t="s">
        <v>17</v>
      </c>
      <c r="D9">
        <v>38</v>
      </c>
      <c r="E9" t="s">
        <v>26</v>
      </c>
      <c r="F9" t="s">
        <v>25</v>
      </c>
      <c r="G9">
        <v>48000</v>
      </c>
      <c r="H9" s="2" t="s">
        <v>54</v>
      </c>
      <c r="I9" s="2" t="s">
        <v>62</v>
      </c>
      <c r="J9" s="1" t="s">
        <v>46</v>
      </c>
      <c r="K9" t="str">
        <f t="shared" si="0"/>
        <v>Sta</v>
      </c>
      <c r="L9" t="str">
        <f t="shared" si="1"/>
        <v>@gmail.com</v>
      </c>
      <c r="M9" t="str">
        <f t="shared" si="2"/>
        <v>2015</v>
      </c>
    </row>
    <row r="10" spans="1:13" x14ac:dyDescent="0.25">
      <c r="A10">
        <v>1009</v>
      </c>
      <c r="B10" t="s">
        <v>10</v>
      </c>
      <c r="C10" t="s">
        <v>11</v>
      </c>
      <c r="D10">
        <v>31</v>
      </c>
      <c r="E10" t="s">
        <v>26</v>
      </c>
      <c r="F10" t="s">
        <v>29</v>
      </c>
      <c r="G10">
        <v>42000</v>
      </c>
      <c r="H10" s="2" t="s">
        <v>55</v>
      </c>
      <c r="I10" s="2" t="s">
        <v>62</v>
      </c>
      <c r="J10" s="1" t="s">
        <v>47</v>
      </c>
      <c r="K10" t="str">
        <f t="shared" si="0"/>
        <v>Kev</v>
      </c>
      <c r="L10" t="str">
        <f t="shared" si="1"/>
        <v>ifflin.com</v>
      </c>
      <c r="M10" t="str">
        <f t="shared" si="2"/>
        <v>2015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4862C-FF60-4E24-9054-4C595B8DA66E}">
  <sheetPr codeName="Sheet5">
    <tabColor theme="9"/>
  </sheetPr>
  <dimension ref="A1:K13"/>
  <sheetViews>
    <sheetView workbookViewId="0">
      <selection activeCell="I15" sqref="I15"/>
    </sheetView>
  </sheetViews>
  <sheetFormatPr defaultColWidth="13.7109375" defaultRowHeight="15" x14ac:dyDescent="0.25"/>
  <cols>
    <col min="1" max="1" width="10.7109375" bestFit="1" customWidth="1"/>
    <col min="4" max="4" width="7.7109375" customWidth="1"/>
  </cols>
  <sheetData>
    <row r="1" spans="1:11" x14ac:dyDescent="0.25">
      <c r="A1" t="s">
        <v>20</v>
      </c>
      <c r="B1" t="s">
        <v>0</v>
      </c>
      <c r="C1" t="s">
        <v>1</v>
      </c>
      <c r="D1" t="s">
        <v>23</v>
      </c>
      <c r="E1" t="s">
        <v>24</v>
      </c>
      <c r="F1" t="s">
        <v>21</v>
      </c>
      <c r="G1" t="s">
        <v>22</v>
      </c>
      <c r="H1" t="s">
        <v>36</v>
      </c>
      <c r="I1" t="s">
        <v>37</v>
      </c>
      <c r="J1" t="s">
        <v>70</v>
      </c>
    </row>
    <row r="2" spans="1:11" x14ac:dyDescent="0.25">
      <c r="A2">
        <v>1001</v>
      </c>
      <c r="B2" t="s">
        <v>2</v>
      </c>
      <c r="C2" t="s">
        <v>3</v>
      </c>
      <c r="D2">
        <v>30</v>
      </c>
      <c r="E2" t="s">
        <v>26</v>
      </c>
      <c r="F2" t="s">
        <v>25</v>
      </c>
      <c r="G2">
        <v>45000</v>
      </c>
      <c r="H2" s="1">
        <v>37197</v>
      </c>
      <c r="I2" s="1">
        <v>42253</v>
      </c>
      <c r="J2" t="str">
        <f>(TEXT(H2,"DD-MM-YYYY"))</f>
        <v>02-11-2001</v>
      </c>
      <c r="K2" s="2"/>
    </row>
    <row r="3" spans="1:11" x14ac:dyDescent="0.25">
      <c r="A3">
        <v>1002</v>
      </c>
      <c r="B3" t="s">
        <v>4</v>
      </c>
      <c r="C3" t="s">
        <v>5</v>
      </c>
      <c r="D3">
        <v>30</v>
      </c>
      <c r="E3" t="s">
        <v>28</v>
      </c>
      <c r="F3" t="s">
        <v>27</v>
      </c>
      <c r="G3">
        <v>36000</v>
      </c>
      <c r="H3" s="1">
        <v>36436</v>
      </c>
      <c r="I3" s="1">
        <v>42287</v>
      </c>
      <c r="J3" t="str">
        <f t="shared" ref="J3:J10" si="0">(TEXT(H3,"DD-MM-YYYY"))</f>
        <v>03-10-1999</v>
      </c>
      <c r="K3" s="2"/>
    </row>
    <row r="4" spans="1:11" x14ac:dyDescent="0.25">
      <c r="A4">
        <v>1003</v>
      </c>
      <c r="B4" t="s">
        <v>6</v>
      </c>
      <c r="C4" t="s">
        <v>7</v>
      </c>
      <c r="D4">
        <v>29</v>
      </c>
      <c r="E4" t="s">
        <v>26</v>
      </c>
      <c r="F4" t="s">
        <v>25</v>
      </c>
      <c r="G4">
        <v>63000</v>
      </c>
      <c r="H4" s="1">
        <v>36711</v>
      </c>
      <c r="I4" s="1">
        <v>42986</v>
      </c>
      <c r="J4" t="str">
        <f t="shared" si="0"/>
        <v>04-07-2000</v>
      </c>
      <c r="K4" s="2"/>
    </row>
    <row r="5" spans="1:11" x14ac:dyDescent="0.25">
      <c r="A5">
        <v>1004</v>
      </c>
      <c r="B5" t="s">
        <v>13</v>
      </c>
      <c r="C5" t="s">
        <v>12</v>
      </c>
      <c r="D5">
        <v>31</v>
      </c>
      <c r="E5" t="s">
        <v>28</v>
      </c>
      <c r="F5" t="s">
        <v>29</v>
      </c>
      <c r="G5">
        <v>47000</v>
      </c>
      <c r="H5" s="1">
        <v>36530</v>
      </c>
      <c r="I5" s="1">
        <v>42341</v>
      </c>
      <c r="J5" t="str">
        <f t="shared" si="0"/>
        <v>05-01-2000</v>
      </c>
      <c r="K5" s="2"/>
    </row>
    <row r="6" spans="1:11" x14ac:dyDescent="0.25">
      <c r="A6">
        <v>1005</v>
      </c>
      <c r="B6" t="s">
        <v>14</v>
      </c>
      <c r="C6" t="s">
        <v>15</v>
      </c>
      <c r="D6">
        <v>32</v>
      </c>
      <c r="E6" t="s">
        <v>26</v>
      </c>
      <c r="F6" t="s">
        <v>30</v>
      </c>
      <c r="G6">
        <v>50000</v>
      </c>
      <c r="H6" s="1">
        <v>37017</v>
      </c>
      <c r="I6" s="1">
        <v>42977</v>
      </c>
      <c r="J6" t="str">
        <f t="shared" si="0"/>
        <v>06-05-2001</v>
      </c>
      <c r="K6" s="2"/>
    </row>
    <row r="7" spans="1:11" x14ac:dyDescent="0.25">
      <c r="A7">
        <v>1006</v>
      </c>
      <c r="B7" t="s">
        <v>8</v>
      </c>
      <c r="C7" t="s">
        <v>9</v>
      </c>
      <c r="D7">
        <v>35</v>
      </c>
      <c r="E7" t="s">
        <v>26</v>
      </c>
      <c r="F7" t="s">
        <v>31</v>
      </c>
      <c r="G7">
        <v>65000</v>
      </c>
      <c r="H7" s="1">
        <v>35040</v>
      </c>
      <c r="I7" s="1">
        <v>41528</v>
      </c>
      <c r="J7" t="str">
        <f t="shared" si="0"/>
        <v>07-12-1995</v>
      </c>
      <c r="K7" s="2"/>
    </row>
    <row r="8" spans="1:11" x14ac:dyDescent="0.25">
      <c r="A8">
        <v>1007</v>
      </c>
      <c r="B8" t="s">
        <v>33</v>
      </c>
      <c r="C8" t="s">
        <v>34</v>
      </c>
      <c r="D8">
        <v>32</v>
      </c>
      <c r="E8" t="s">
        <v>28</v>
      </c>
      <c r="F8" t="s">
        <v>32</v>
      </c>
      <c r="G8">
        <v>41000</v>
      </c>
      <c r="H8" s="1">
        <v>37933</v>
      </c>
      <c r="I8" s="1">
        <v>41551</v>
      </c>
      <c r="J8" t="str">
        <f t="shared" si="0"/>
        <v>08-11-2003</v>
      </c>
      <c r="K8" s="2"/>
    </row>
    <row r="9" spans="1:11" x14ac:dyDescent="0.25">
      <c r="A9">
        <v>1008</v>
      </c>
      <c r="B9" t="s">
        <v>16</v>
      </c>
      <c r="C9" t="s">
        <v>17</v>
      </c>
      <c r="D9">
        <v>38</v>
      </c>
      <c r="E9" t="s">
        <v>26</v>
      </c>
      <c r="F9" t="s">
        <v>25</v>
      </c>
      <c r="G9">
        <v>48000</v>
      </c>
      <c r="H9" s="1">
        <v>37416</v>
      </c>
      <c r="I9" s="1">
        <v>42116</v>
      </c>
      <c r="J9" t="str">
        <f t="shared" si="0"/>
        <v>09-06-2002</v>
      </c>
      <c r="K9" s="2"/>
    </row>
    <row r="10" spans="1:11" x14ac:dyDescent="0.25">
      <c r="A10">
        <v>1009</v>
      </c>
      <c r="B10" t="s">
        <v>10</v>
      </c>
      <c r="C10" t="s">
        <v>11</v>
      </c>
      <c r="D10">
        <v>31</v>
      </c>
      <c r="E10" t="s">
        <v>26</v>
      </c>
      <c r="F10" t="s">
        <v>29</v>
      </c>
      <c r="G10">
        <v>42000</v>
      </c>
      <c r="H10" s="1">
        <v>37843</v>
      </c>
      <c r="I10" s="1">
        <v>40800</v>
      </c>
      <c r="J10" t="str">
        <f t="shared" si="0"/>
        <v>10-08-2003</v>
      </c>
      <c r="K10" s="2"/>
    </row>
    <row r="12" spans="1:11" x14ac:dyDescent="0.25">
      <c r="H12" s="1"/>
    </row>
    <row r="13" spans="1:11" x14ac:dyDescent="0.25">
      <c r="H13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69BBA-836F-48E1-B067-27B71B706556}">
  <sheetPr codeName="Sheet6">
    <tabColor theme="9"/>
  </sheetPr>
  <dimension ref="A1:K10"/>
  <sheetViews>
    <sheetView workbookViewId="0">
      <selection activeCell="G25" sqref="G25"/>
    </sheetView>
  </sheetViews>
  <sheetFormatPr defaultColWidth="13.7109375" defaultRowHeight="15" x14ac:dyDescent="0.25"/>
  <cols>
    <col min="1" max="1" width="10.7109375" bestFit="1" customWidth="1"/>
    <col min="4" max="4" width="7.7109375" customWidth="1"/>
  </cols>
  <sheetData>
    <row r="1" spans="1:11" x14ac:dyDescent="0.25">
      <c r="A1" t="s">
        <v>20</v>
      </c>
      <c r="B1" t="s">
        <v>0</v>
      </c>
      <c r="C1" t="s">
        <v>1</v>
      </c>
      <c r="D1" t="s">
        <v>23</v>
      </c>
      <c r="E1" t="s">
        <v>24</v>
      </c>
      <c r="F1" t="s">
        <v>21</v>
      </c>
      <c r="G1" t="s">
        <v>22</v>
      </c>
      <c r="H1" t="s">
        <v>36</v>
      </c>
      <c r="I1" t="s">
        <v>37</v>
      </c>
      <c r="J1" t="s">
        <v>68</v>
      </c>
      <c r="K1" t="s">
        <v>69</v>
      </c>
    </row>
    <row r="2" spans="1:11" x14ac:dyDescent="0.25">
      <c r="A2">
        <v>1001</v>
      </c>
      <c r="B2" s="2" t="s">
        <v>2</v>
      </c>
      <c r="C2" s="2" t="s">
        <v>3</v>
      </c>
      <c r="D2">
        <v>30</v>
      </c>
      <c r="E2" t="s">
        <v>26</v>
      </c>
      <c r="F2" t="s">
        <v>25</v>
      </c>
      <c r="G2">
        <v>45000</v>
      </c>
      <c r="H2" s="1">
        <v>37197</v>
      </c>
      <c r="I2" s="1">
        <v>42253</v>
      </c>
      <c r="J2" t="str">
        <f>TRIM(C2)</f>
        <v>Halpert</v>
      </c>
    </row>
    <row r="3" spans="1:11" x14ac:dyDescent="0.25">
      <c r="A3">
        <v>1002</v>
      </c>
      <c r="B3" s="2" t="s">
        <v>4</v>
      </c>
      <c r="C3" s="2" t="s">
        <v>5</v>
      </c>
      <c r="D3">
        <v>30</v>
      </c>
      <c r="E3" t="s">
        <v>28</v>
      </c>
      <c r="F3" t="s">
        <v>27</v>
      </c>
      <c r="G3">
        <v>36000</v>
      </c>
      <c r="H3" s="1">
        <v>36436</v>
      </c>
      <c r="I3" s="1">
        <v>42287</v>
      </c>
      <c r="J3" t="str">
        <f t="shared" ref="J3:J10" si="0">TRIM(C3)</f>
        <v>Beasley</v>
      </c>
    </row>
    <row r="4" spans="1:11" x14ac:dyDescent="0.25">
      <c r="A4">
        <v>1003</v>
      </c>
      <c r="B4" s="2" t="s">
        <v>6</v>
      </c>
      <c r="C4" s="2" t="s">
        <v>67</v>
      </c>
      <c r="D4">
        <v>29</v>
      </c>
      <c r="E4" t="s">
        <v>26</v>
      </c>
      <c r="F4" t="s">
        <v>25</v>
      </c>
      <c r="G4">
        <v>63000</v>
      </c>
      <c r="H4" s="1">
        <v>36711</v>
      </c>
      <c r="I4" s="1">
        <v>42986</v>
      </c>
      <c r="J4" t="str">
        <f t="shared" si="0"/>
        <v>Schrute</v>
      </c>
    </row>
    <row r="5" spans="1:11" x14ac:dyDescent="0.25">
      <c r="A5">
        <v>1004</v>
      </c>
      <c r="B5" s="2" t="s">
        <v>13</v>
      </c>
      <c r="C5" s="2" t="s">
        <v>12</v>
      </c>
      <c r="D5">
        <v>31</v>
      </c>
      <c r="E5" t="s">
        <v>28</v>
      </c>
      <c r="F5" t="s">
        <v>29</v>
      </c>
      <c r="G5">
        <v>47000</v>
      </c>
      <c r="H5" s="1">
        <v>36530</v>
      </c>
      <c r="I5" s="1">
        <v>42341</v>
      </c>
      <c r="J5" t="str">
        <f t="shared" si="0"/>
        <v>Martin</v>
      </c>
    </row>
    <row r="6" spans="1:11" x14ac:dyDescent="0.25">
      <c r="A6">
        <v>1005</v>
      </c>
      <c r="B6" s="2" t="s">
        <v>14</v>
      </c>
      <c r="C6" s="2" t="s">
        <v>66</v>
      </c>
      <c r="D6">
        <v>32</v>
      </c>
      <c r="E6" t="s">
        <v>26</v>
      </c>
      <c r="F6" t="s">
        <v>30</v>
      </c>
      <c r="G6">
        <v>50000</v>
      </c>
      <c r="H6" s="1">
        <v>37017</v>
      </c>
      <c r="I6" s="1">
        <v>42977</v>
      </c>
      <c r="J6" t="str">
        <f t="shared" si="0"/>
        <v>Flenderson</v>
      </c>
    </row>
    <row r="7" spans="1:11" x14ac:dyDescent="0.25">
      <c r="A7">
        <v>1006</v>
      </c>
      <c r="B7" s="2" t="s">
        <v>8</v>
      </c>
      <c r="C7" s="2" t="s">
        <v>65</v>
      </c>
      <c r="D7">
        <v>35</v>
      </c>
      <c r="E7" t="s">
        <v>26</v>
      </c>
      <c r="F7" t="s">
        <v>31</v>
      </c>
      <c r="G7">
        <v>65000</v>
      </c>
      <c r="H7" s="1">
        <v>35040</v>
      </c>
      <c r="I7" s="1">
        <v>41528</v>
      </c>
      <c r="J7" t="str">
        <f t="shared" si="0"/>
        <v>Scott</v>
      </c>
    </row>
    <row r="8" spans="1:11" x14ac:dyDescent="0.25">
      <c r="A8">
        <v>1007</v>
      </c>
      <c r="B8" s="2" t="s">
        <v>33</v>
      </c>
      <c r="C8" s="2" t="s">
        <v>34</v>
      </c>
      <c r="D8">
        <v>32</v>
      </c>
      <c r="E8" t="s">
        <v>28</v>
      </c>
      <c r="F8" t="s">
        <v>32</v>
      </c>
      <c r="G8">
        <v>41000</v>
      </c>
      <c r="H8" s="1">
        <v>37933</v>
      </c>
      <c r="I8" s="1">
        <v>41551</v>
      </c>
      <c r="J8" t="str">
        <f t="shared" si="0"/>
        <v>Palmer</v>
      </c>
    </row>
    <row r="9" spans="1:11" x14ac:dyDescent="0.25">
      <c r="A9">
        <v>1008</v>
      </c>
      <c r="B9" s="2" t="s">
        <v>16</v>
      </c>
      <c r="C9" s="2" t="s">
        <v>64</v>
      </c>
      <c r="D9">
        <v>38</v>
      </c>
      <c r="E9" t="s">
        <v>26</v>
      </c>
      <c r="F9" t="s">
        <v>25</v>
      </c>
      <c r="G9">
        <v>48000</v>
      </c>
      <c r="H9" s="1">
        <v>37416</v>
      </c>
      <c r="I9" s="1">
        <v>42116</v>
      </c>
      <c r="J9" t="str">
        <f t="shared" si="0"/>
        <v>Hudson</v>
      </c>
    </row>
    <row r="10" spans="1:11" x14ac:dyDescent="0.25">
      <c r="A10">
        <v>1009</v>
      </c>
      <c r="B10" s="2" t="s">
        <v>10</v>
      </c>
      <c r="C10" s="2" t="s">
        <v>63</v>
      </c>
      <c r="D10">
        <v>31</v>
      </c>
      <c r="E10" t="s">
        <v>26</v>
      </c>
      <c r="F10" t="s">
        <v>29</v>
      </c>
      <c r="G10">
        <v>42000</v>
      </c>
      <c r="H10" s="1">
        <v>37843</v>
      </c>
      <c r="I10" s="1">
        <v>40800</v>
      </c>
      <c r="J10" t="str">
        <f t="shared" si="0"/>
        <v>Malone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B9C42-087D-43BC-95CC-49AE54CDC17A}">
  <sheetPr codeName="Sheet7">
    <tabColor theme="9"/>
  </sheetPr>
  <dimension ref="A1:L20"/>
  <sheetViews>
    <sheetView workbookViewId="0">
      <selection activeCell="J5" sqref="J5"/>
    </sheetView>
  </sheetViews>
  <sheetFormatPr defaultColWidth="13.7109375" defaultRowHeight="15" x14ac:dyDescent="0.25"/>
  <cols>
    <col min="1" max="1" width="10.42578125" bestFit="1" customWidth="1"/>
    <col min="2" max="2" width="10.140625" bestFit="1" customWidth="1"/>
    <col min="3" max="3" width="11" bestFit="1" customWidth="1"/>
    <col min="4" max="4" width="4.42578125" bestFit="1" customWidth="1"/>
    <col min="5" max="5" width="7.5703125" bestFit="1" customWidth="1"/>
    <col min="6" max="6" width="17.42578125" bestFit="1" customWidth="1"/>
    <col min="7" max="7" width="6.28515625" bestFit="1" customWidth="1"/>
    <col min="8" max="8" width="9.7109375" bestFit="1" customWidth="1"/>
    <col min="9" max="9" width="10.7109375" bestFit="1" customWidth="1"/>
    <col min="10" max="10" width="10.7109375" customWidth="1"/>
    <col min="11" max="11" width="11.7109375" customWidth="1"/>
    <col min="12" max="12" width="9.28515625" bestFit="1" customWidth="1"/>
  </cols>
  <sheetData>
    <row r="1" spans="1:12" s="6" customFormat="1" ht="30" x14ac:dyDescent="0.25">
      <c r="A1" s="6" t="s">
        <v>20</v>
      </c>
      <c r="B1" s="6" t="s">
        <v>0</v>
      </c>
      <c r="C1" s="6" t="s">
        <v>1</v>
      </c>
      <c r="D1" s="6" t="s">
        <v>23</v>
      </c>
      <c r="E1" s="6" t="s">
        <v>24</v>
      </c>
      <c r="F1" s="6" t="s">
        <v>21</v>
      </c>
      <c r="G1" s="6" t="s">
        <v>22</v>
      </c>
      <c r="H1" s="6" t="s">
        <v>36</v>
      </c>
      <c r="I1" s="6" t="s">
        <v>37</v>
      </c>
      <c r="J1" s="6" t="s">
        <v>71</v>
      </c>
      <c r="K1" s="6" t="s">
        <v>72</v>
      </c>
      <c r="L1" s="6" t="s">
        <v>73</v>
      </c>
    </row>
    <row r="2" spans="1:12" x14ac:dyDescent="0.25">
      <c r="A2">
        <v>1001</v>
      </c>
      <c r="B2" t="s">
        <v>2</v>
      </c>
      <c r="C2" t="s">
        <v>3</v>
      </c>
      <c r="D2">
        <v>30</v>
      </c>
      <c r="E2" t="s">
        <v>26</v>
      </c>
      <c r="F2" t="s">
        <v>25</v>
      </c>
      <c r="G2">
        <v>45000</v>
      </c>
      <c r="H2" s="2" t="s">
        <v>48</v>
      </c>
      <c r="I2" s="2" t="s">
        <v>56</v>
      </c>
      <c r="J2" t="str">
        <f>SUBSTITUTE(H2,"/","-",1)</f>
        <v>11-2/2001</v>
      </c>
      <c r="K2" t="str">
        <f>SUBSTITUTE(H2,"/","-",2)</f>
        <v>11/2-2001</v>
      </c>
      <c r="L2" t="str">
        <f>SUBSTITUTE(H2,"-","/")</f>
        <v>11/2/2001</v>
      </c>
    </row>
    <row r="3" spans="1:12" x14ac:dyDescent="0.25">
      <c r="A3">
        <v>1002</v>
      </c>
      <c r="B3" t="s">
        <v>4</v>
      </c>
      <c r="C3" t="s">
        <v>5</v>
      </c>
      <c r="D3">
        <v>30</v>
      </c>
      <c r="E3" t="s">
        <v>28</v>
      </c>
      <c r="F3" t="s">
        <v>27</v>
      </c>
      <c r="G3">
        <v>36000</v>
      </c>
      <c r="H3" s="2" t="s">
        <v>49</v>
      </c>
      <c r="I3" s="2" t="s">
        <v>57</v>
      </c>
      <c r="J3" t="str">
        <f t="shared" ref="J3:J10" si="0">SUBSTITUTE(H3,"/","-",1)</f>
        <v>10-3/1999</v>
      </c>
      <c r="K3" t="str">
        <f t="shared" ref="K3:K10" si="1">SUBSTITUTE(H3,"/","-",2)</f>
        <v>10/3-1999</v>
      </c>
      <c r="L3" t="str">
        <f t="shared" ref="L3:L10" si="2">SUBSTITUTE(H3,"-","/")</f>
        <v>10/3/1999</v>
      </c>
    </row>
    <row r="4" spans="1:12" x14ac:dyDescent="0.25">
      <c r="A4">
        <v>1003</v>
      </c>
      <c r="B4" t="s">
        <v>6</v>
      </c>
      <c r="C4" t="s">
        <v>7</v>
      </c>
      <c r="D4">
        <v>29</v>
      </c>
      <c r="E4" t="s">
        <v>26</v>
      </c>
      <c r="F4" t="s">
        <v>25</v>
      </c>
      <c r="G4">
        <v>63000</v>
      </c>
      <c r="H4" s="2" t="s">
        <v>50</v>
      </c>
      <c r="I4" s="2" t="s">
        <v>58</v>
      </c>
      <c r="J4" t="str">
        <f t="shared" si="0"/>
        <v>7-4/2000</v>
      </c>
      <c r="K4" t="str">
        <f t="shared" si="1"/>
        <v>7/4-2000</v>
      </c>
      <c r="L4" t="str">
        <f t="shared" si="2"/>
        <v>7/4/2000</v>
      </c>
    </row>
    <row r="5" spans="1:12" x14ac:dyDescent="0.25">
      <c r="A5">
        <v>1004</v>
      </c>
      <c r="B5" t="s">
        <v>13</v>
      </c>
      <c r="C5" t="s">
        <v>12</v>
      </c>
      <c r="D5">
        <v>31</v>
      </c>
      <c r="E5" t="s">
        <v>28</v>
      </c>
      <c r="F5" t="s">
        <v>29</v>
      </c>
      <c r="G5">
        <v>47000</v>
      </c>
      <c r="H5" s="2" t="s">
        <v>51</v>
      </c>
      <c r="I5" s="2" t="s">
        <v>59</v>
      </c>
      <c r="J5" t="str">
        <f t="shared" si="0"/>
        <v>1-5/2000</v>
      </c>
      <c r="K5" t="str">
        <f t="shared" si="1"/>
        <v>1/5-2000</v>
      </c>
      <c r="L5" t="str">
        <f t="shared" si="2"/>
        <v>1/5/2000</v>
      </c>
    </row>
    <row r="6" spans="1:12" x14ac:dyDescent="0.25">
      <c r="A6">
        <v>1005</v>
      </c>
      <c r="B6" t="s">
        <v>14</v>
      </c>
      <c r="C6" t="s">
        <v>15</v>
      </c>
      <c r="D6">
        <v>32</v>
      </c>
      <c r="E6" t="s">
        <v>26</v>
      </c>
      <c r="F6" t="s">
        <v>30</v>
      </c>
      <c r="G6">
        <v>50000</v>
      </c>
      <c r="H6" s="2" t="s">
        <v>90</v>
      </c>
      <c r="I6" s="2" t="s">
        <v>60</v>
      </c>
      <c r="J6" t="str">
        <f t="shared" si="0"/>
        <v>5-6-2001</v>
      </c>
      <c r="K6" t="str">
        <f t="shared" si="1"/>
        <v>5-6-2001</v>
      </c>
      <c r="L6" t="str">
        <f t="shared" si="2"/>
        <v>5/6/2001</v>
      </c>
    </row>
    <row r="7" spans="1:12" x14ac:dyDescent="0.25">
      <c r="A7">
        <v>1006</v>
      </c>
      <c r="B7" t="s">
        <v>8</v>
      </c>
      <c r="C7" t="s">
        <v>9</v>
      </c>
      <c r="D7">
        <v>35</v>
      </c>
      <c r="E7" t="s">
        <v>26</v>
      </c>
      <c r="F7" t="s">
        <v>31</v>
      </c>
      <c r="G7">
        <v>65000</v>
      </c>
      <c r="H7" s="2" t="s">
        <v>52</v>
      </c>
      <c r="I7" s="2" t="s">
        <v>61</v>
      </c>
      <c r="J7" t="str">
        <f t="shared" si="0"/>
        <v>5-6/2001</v>
      </c>
      <c r="K7" t="str">
        <f t="shared" si="1"/>
        <v>5/6-2001</v>
      </c>
      <c r="L7" t="str">
        <f t="shared" si="2"/>
        <v>5/6/2001</v>
      </c>
    </row>
    <row r="8" spans="1:12" x14ac:dyDescent="0.25">
      <c r="A8">
        <v>1007</v>
      </c>
      <c r="B8" t="s">
        <v>33</v>
      </c>
      <c r="C8" t="s">
        <v>34</v>
      </c>
      <c r="D8">
        <v>32</v>
      </c>
      <c r="E8" t="s">
        <v>28</v>
      </c>
      <c r="F8" t="s">
        <v>32</v>
      </c>
      <c r="G8">
        <v>41000</v>
      </c>
      <c r="H8" s="2" t="s">
        <v>53</v>
      </c>
      <c r="I8" s="2" t="s">
        <v>61</v>
      </c>
      <c r="J8" t="str">
        <f t="shared" si="0"/>
        <v>11-8/2003</v>
      </c>
      <c r="K8" t="str">
        <f t="shared" si="1"/>
        <v>11/8-2003</v>
      </c>
      <c r="L8" t="str">
        <f t="shared" si="2"/>
        <v>11/8/2003</v>
      </c>
    </row>
    <row r="9" spans="1:12" x14ac:dyDescent="0.25">
      <c r="A9">
        <v>1008</v>
      </c>
      <c r="B9" t="s">
        <v>16</v>
      </c>
      <c r="C9" t="s">
        <v>17</v>
      </c>
      <c r="D9">
        <v>38</v>
      </c>
      <c r="E9" t="s">
        <v>26</v>
      </c>
      <c r="F9" t="s">
        <v>25</v>
      </c>
      <c r="G9">
        <v>48000</v>
      </c>
      <c r="H9" s="2" t="s">
        <v>91</v>
      </c>
      <c r="I9" s="2" t="s">
        <v>62</v>
      </c>
      <c r="J9" t="str">
        <f t="shared" si="0"/>
        <v>6-9-2002</v>
      </c>
      <c r="K9" t="str">
        <f t="shared" si="1"/>
        <v>6-9-2002</v>
      </c>
      <c r="L9" t="str">
        <f t="shared" si="2"/>
        <v>6/9/2002</v>
      </c>
    </row>
    <row r="10" spans="1:12" x14ac:dyDescent="0.25">
      <c r="A10">
        <v>1009</v>
      </c>
      <c r="B10" t="s">
        <v>10</v>
      </c>
      <c r="C10" t="s">
        <v>11</v>
      </c>
      <c r="D10">
        <v>31</v>
      </c>
      <c r="E10" t="s">
        <v>26</v>
      </c>
      <c r="F10" t="s">
        <v>29</v>
      </c>
      <c r="G10">
        <v>42000</v>
      </c>
      <c r="H10" s="2" t="s">
        <v>55</v>
      </c>
      <c r="I10" s="2" t="s">
        <v>62</v>
      </c>
      <c r="J10" t="str">
        <f t="shared" si="0"/>
        <v>8-10/2003</v>
      </c>
      <c r="K10" t="str">
        <f t="shared" si="1"/>
        <v>8/10-2003</v>
      </c>
      <c r="L10" t="str">
        <f t="shared" si="2"/>
        <v>8/10/2003</v>
      </c>
    </row>
    <row r="12" spans="1:12" x14ac:dyDescent="0.25">
      <c r="H12" s="2"/>
      <c r="I12" s="2"/>
    </row>
    <row r="13" spans="1:12" x14ac:dyDescent="0.25">
      <c r="H13" s="2"/>
      <c r="I13" s="2"/>
    </row>
    <row r="14" spans="1:12" x14ac:dyDescent="0.25">
      <c r="H14" s="2"/>
      <c r="I14" s="2"/>
    </row>
    <row r="15" spans="1:12" x14ac:dyDescent="0.25">
      <c r="H15" s="2"/>
      <c r="I15" s="2"/>
    </row>
    <row r="16" spans="1:12" x14ac:dyDescent="0.25">
      <c r="H16" s="2"/>
      <c r="I16" s="2"/>
    </row>
    <row r="17" spans="8:9" x14ac:dyDescent="0.25">
      <c r="H17" s="2"/>
      <c r="I17" s="2"/>
    </row>
    <row r="18" spans="8:9" x14ac:dyDescent="0.25">
      <c r="H18" s="2"/>
      <c r="I18" s="2"/>
    </row>
    <row r="19" spans="8:9" x14ac:dyDescent="0.25">
      <c r="H19" s="2"/>
      <c r="I19" s="2"/>
    </row>
    <row r="20" spans="8:9" x14ac:dyDescent="0.25">
      <c r="H20" s="2"/>
      <c r="I20" s="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77C31-5FD1-4473-A6A1-29ABAD3F7755}">
  <sheetPr codeName="Sheet10">
    <tabColor theme="9"/>
  </sheetPr>
  <dimension ref="A1:K12"/>
  <sheetViews>
    <sheetView workbookViewId="0">
      <selection activeCell="K15" sqref="K15"/>
    </sheetView>
  </sheetViews>
  <sheetFormatPr defaultRowHeight="15" x14ac:dyDescent="0.25"/>
  <cols>
    <col min="2" max="2" width="10.42578125" customWidth="1"/>
    <col min="3" max="5" width="10.7109375" customWidth="1"/>
    <col min="6" max="6" width="16.5703125" customWidth="1"/>
    <col min="8" max="8" width="14.28515625" customWidth="1"/>
    <col min="9" max="9" width="14.7109375" customWidth="1"/>
    <col min="10" max="10" width="23.5703125" bestFit="1" customWidth="1"/>
    <col min="11" max="11" width="31.42578125" bestFit="1" customWidth="1"/>
  </cols>
  <sheetData>
    <row r="1" spans="1:11" x14ac:dyDescent="0.25">
      <c r="A1" t="s">
        <v>20</v>
      </c>
      <c r="B1" t="s">
        <v>0</v>
      </c>
      <c r="C1" t="s">
        <v>1</v>
      </c>
      <c r="D1" t="s">
        <v>23</v>
      </c>
      <c r="E1" t="s">
        <v>24</v>
      </c>
      <c r="F1" t="s">
        <v>21</v>
      </c>
      <c r="G1" t="s">
        <v>22</v>
      </c>
      <c r="H1" t="s">
        <v>36</v>
      </c>
      <c r="I1" t="s">
        <v>37</v>
      </c>
      <c r="J1" t="s">
        <v>18</v>
      </c>
      <c r="K1" t="s">
        <v>89</v>
      </c>
    </row>
    <row r="2" spans="1:11" x14ac:dyDescent="0.25">
      <c r="A2">
        <v>1001</v>
      </c>
      <c r="B2" t="s">
        <v>2</v>
      </c>
      <c r="C2" t="s">
        <v>3</v>
      </c>
      <c r="D2">
        <v>30</v>
      </c>
      <c r="E2" t="s">
        <v>26</v>
      </c>
      <c r="F2" t="s">
        <v>25</v>
      </c>
      <c r="G2">
        <v>45000</v>
      </c>
      <c r="H2" s="1">
        <v>37197</v>
      </c>
      <c r="I2" s="1">
        <v>42253</v>
      </c>
      <c r="J2" t="str">
        <f>CONCATENATE(B2," ",C2)</f>
        <v>Jim Halpert</v>
      </c>
      <c r="K2" t="str">
        <f>CONCATENATE(B2,". ",C2,"@GMMAIL.COM")</f>
        <v>Jim. Halpert@GMMAIL.COM</v>
      </c>
    </row>
    <row r="3" spans="1:11" x14ac:dyDescent="0.25">
      <c r="A3">
        <v>1002</v>
      </c>
      <c r="B3" t="s">
        <v>4</v>
      </c>
      <c r="C3" t="s">
        <v>5</v>
      </c>
      <c r="D3">
        <v>30</v>
      </c>
      <c r="E3" t="s">
        <v>28</v>
      </c>
      <c r="F3" t="s">
        <v>27</v>
      </c>
      <c r="G3">
        <v>36000</v>
      </c>
      <c r="H3" s="1">
        <v>36436</v>
      </c>
      <c r="I3" s="1">
        <v>42287</v>
      </c>
      <c r="J3" t="str">
        <f t="shared" ref="J3:J12" si="0">CONCATENATE(B3," ",C3)</f>
        <v>Pam Beasley</v>
      </c>
      <c r="K3" t="str">
        <f>CONCATENATE(B3,". ",C3,"@GMMAIL.COM")</f>
        <v>Pam. Beasley@GMMAIL.COM</v>
      </c>
    </row>
    <row r="4" spans="1:11" x14ac:dyDescent="0.25">
      <c r="A4">
        <v>1003</v>
      </c>
      <c r="B4" t="s">
        <v>6</v>
      </c>
      <c r="C4" t="s">
        <v>7</v>
      </c>
      <c r="D4">
        <v>29</v>
      </c>
      <c r="E4" t="s">
        <v>26</v>
      </c>
      <c r="F4" t="s">
        <v>25</v>
      </c>
      <c r="G4">
        <v>63000</v>
      </c>
      <c r="H4" s="1">
        <v>36711</v>
      </c>
      <c r="I4" s="1">
        <v>42986</v>
      </c>
      <c r="J4" t="str">
        <f t="shared" si="0"/>
        <v>Dwight Schrute</v>
      </c>
      <c r="K4" t="str">
        <f>CONCATENATE(B4,". ",C4,"@GMMAIL.COM")</f>
        <v>Dwight. Schrute@GMMAIL.COM</v>
      </c>
    </row>
    <row r="5" spans="1:11" x14ac:dyDescent="0.25">
      <c r="A5">
        <v>1004</v>
      </c>
      <c r="B5" t="s">
        <v>13</v>
      </c>
      <c r="C5" t="s">
        <v>12</v>
      </c>
      <c r="D5">
        <v>31</v>
      </c>
      <c r="E5" t="s">
        <v>28</v>
      </c>
      <c r="F5" t="s">
        <v>29</v>
      </c>
      <c r="G5">
        <v>47000</v>
      </c>
      <c r="H5" s="1">
        <v>36530</v>
      </c>
      <c r="I5" s="1">
        <v>42341</v>
      </c>
      <c r="J5" t="str">
        <f t="shared" si="0"/>
        <v>Angela Martin</v>
      </c>
      <c r="K5" t="str">
        <f>CONCATENATE(B5,". ",C5,"@GMMAIL.COM")</f>
        <v>Angela. Martin@GMMAIL.COM</v>
      </c>
    </row>
    <row r="6" spans="1:11" x14ac:dyDescent="0.25">
      <c r="A6">
        <v>1005</v>
      </c>
      <c r="B6" t="s">
        <v>14</v>
      </c>
      <c r="C6" t="s">
        <v>15</v>
      </c>
      <c r="D6">
        <v>32</v>
      </c>
      <c r="E6" t="s">
        <v>26</v>
      </c>
      <c r="F6" t="s">
        <v>30</v>
      </c>
      <c r="G6">
        <v>50000</v>
      </c>
      <c r="H6" s="1">
        <v>37017</v>
      </c>
      <c r="I6" s="1">
        <v>42977</v>
      </c>
      <c r="J6" t="str">
        <f t="shared" si="0"/>
        <v>Toby Flenderson</v>
      </c>
      <c r="K6" t="str">
        <f>CONCATENATE(B6,". ",C6,"@GMMAIL.COM")</f>
        <v>Toby. Flenderson@GMMAIL.COM</v>
      </c>
    </row>
    <row r="7" spans="1:11" x14ac:dyDescent="0.25">
      <c r="A7">
        <v>1006</v>
      </c>
      <c r="B7" t="s">
        <v>8</v>
      </c>
      <c r="C7" t="s">
        <v>9</v>
      </c>
      <c r="D7">
        <v>35</v>
      </c>
      <c r="E7" t="s">
        <v>26</v>
      </c>
      <c r="F7" t="s">
        <v>31</v>
      </c>
      <c r="G7">
        <v>65000</v>
      </c>
      <c r="H7" s="1">
        <v>35040</v>
      </c>
      <c r="I7" s="1">
        <v>41528</v>
      </c>
      <c r="J7" t="str">
        <f t="shared" si="0"/>
        <v>Michael Scott</v>
      </c>
      <c r="K7" t="str">
        <f>CONCATENATE(B7,". ",C7,"@GMMAIL.COM")</f>
        <v>Michael. Scott@GMMAIL.COM</v>
      </c>
    </row>
    <row r="8" spans="1:11" x14ac:dyDescent="0.25">
      <c r="A8">
        <v>1007</v>
      </c>
      <c r="B8" t="s">
        <v>33</v>
      </c>
      <c r="C8" t="s">
        <v>34</v>
      </c>
      <c r="D8">
        <v>32</v>
      </c>
      <c r="E8" t="s">
        <v>28</v>
      </c>
      <c r="F8" t="s">
        <v>32</v>
      </c>
      <c r="G8">
        <v>41000</v>
      </c>
      <c r="H8" s="1">
        <v>37933</v>
      </c>
      <c r="I8" s="1">
        <v>41551</v>
      </c>
      <c r="J8" t="str">
        <f t="shared" si="0"/>
        <v>Meredith Palmer</v>
      </c>
      <c r="K8" t="str">
        <f>CONCATENATE(B8,". ",C8,"@GMMAIL.COM")</f>
        <v>Meredith. Palmer@GMMAIL.COM</v>
      </c>
    </row>
    <row r="9" spans="1:11" x14ac:dyDescent="0.25">
      <c r="A9">
        <v>1008</v>
      </c>
      <c r="B9" t="s">
        <v>16</v>
      </c>
      <c r="C9" t="s">
        <v>17</v>
      </c>
      <c r="D9">
        <v>38</v>
      </c>
      <c r="E9" t="s">
        <v>26</v>
      </c>
      <c r="F9" t="s">
        <v>25</v>
      </c>
      <c r="G9">
        <v>48000</v>
      </c>
      <c r="H9" s="1">
        <v>37416</v>
      </c>
      <c r="I9" s="1">
        <v>42116</v>
      </c>
      <c r="J9" t="str">
        <f t="shared" si="0"/>
        <v>Stanley Hudson</v>
      </c>
      <c r="K9" t="str">
        <f>CONCATENATE(B9,". ",C9,"@GMMAIL.COM")</f>
        <v>Stanley. Hudson@GMMAIL.COM</v>
      </c>
    </row>
    <row r="10" spans="1:11" x14ac:dyDescent="0.25">
      <c r="A10">
        <v>1009</v>
      </c>
      <c r="B10" t="s">
        <v>10</v>
      </c>
      <c r="C10" t="s">
        <v>11</v>
      </c>
      <c r="D10">
        <v>31</v>
      </c>
      <c r="E10" t="s">
        <v>26</v>
      </c>
      <c r="F10" t="s">
        <v>29</v>
      </c>
      <c r="G10">
        <v>42000</v>
      </c>
      <c r="H10" s="1">
        <v>37843</v>
      </c>
      <c r="I10" s="1">
        <v>40800</v>
      </c>
      <c r="J10" t="str">
        <f t="shared" si="0"/>
        <v>Kevin Malone</v>
      </c>
      <c r="K10" t="str">
        <f>CONCATENATE(B10,". ",C10,"@GMMAIL.COM")</f>
        <v>Kevin. Malone@GMMAIL.COM</v>
      </c>
    </row>
    <row r="11" spans="1:11" x14ac:dyDescent="0.25">
      <c r="H11" t="str">
        <f t="shared" ref="H11:H12" si="1">CONCATENATE(B11," ",C11)</f>
        <v xml:space="preserve"> </v>
      </c>
      <c r="J11" t="str">
        <f t="shared" si="0"/>
        <v xml:space="preserve"> </v>
      </c>
    </row>
    <row r="12" spans="1:11" x14ac:dyDescent="0.25">
      <c r="H12" t="str">
        <f t="shared" si="1"/>
        <v xml:space="preserve"> </v>
      </c>
      <c r="J12" t="str">
        <f t="shared" si="0"/>
        <v xml:space="preserve"> 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C5D0-EC67-4288-8B29-30C6E5CFEE73}">
  <sheetPr codeName="Sheet8">
    <tabColor theme="9"/>
  </sheetPr>
  <dimension ref="A1:L10"/>
  <sheetViews>
    <sheetView workbookViewId="0">
      <selection activeCell="L2" sqref="L2"/>
    </sheetView>
  </sheetViews>
  <sheetFormatPr defaultColWidth="13" defaultRowHeight="15" x14ac:dyDescent="0.25"/>
  <sheetData>
    <row r="1" spans="1:12" x14ac:dyDescent="0.25">
      <c r="A1" t="s">
        <v>20</v>
      </c>
      <c r="B1" t="s">
        <v>0</v>
      </c>
      <c r="C1" t="s">
        <v>1</v>
      </c>
      <c r="D1" t="s">
        <v>23</v>
      </c>
      <c r="E1" t="s">
        <v>24</v>
      </c>
      <c r="F1" t="s">
        <v>21</v>
      </c>
      <c r="G1" t="s">
        <v>22</v>
      </c>
      <c r="H1" t="s">
        <v>36</v>
      </c>
      <c r="I1" t="s">
        <v>37</v>
      </c>
      <c r="J1" t="s">
        <v>74</v>
      </c>
      <c r="K1" t="s">
        <v>75</v>
      </c>
      <c r="L1" t="s">
        <v>76</v>
      </c>
    </row>
    <row r="2" spans="1:12" x14ac:dyDescent="0.25">
      <c r="A2">
        <v>1001</v>
      </c>
      <c r="B2" t="s">
        <v>2</v>
      </c>
      <c r="C2" t="s">
        <v>3</v>
      </c>
      <c r="D2">
        <v>30</v>
      </c>
      <c r="E2" t="s">
        <v>26</v>
      </c>
      <c r="F2" t="s">
        <v>25</v>
      </c>
      <c r="G2">
        <v>45000</v>
      </c>
      <c r="H2" s="1">
        <v>37197</v>
      </c>
      <c r="I2" s="1">
        <v>42253</v>
      </c>
      <c r="J2">
        <f>SUM(G2:G10)</f>
        <v>437000</v>
      </c>
      <c r="K2">
        <f>SUMIF(G2:G10,"&gt;50000")</f>
        <v>128000</v>
      </c>
      <c r="L2">
        <f>SUMIFS(G2:G10,E2:E10,"MALE",D2:D10,"&gt;31")</f>
        <v>163000</v>
      </c>
    </row>
    <row r="3" spans="1:12" x14ac:dyDescent="0.25">
      <c r="A3">
        <v>1002</v>
      </c>
      <c r="B3" t="s">
        <v>4</v>
      </c>
      <c r="C3" t="s">
        <v>5</v>
      </c>
      <c r="D3">
        <v>30</v>
      </c>
      <c r="E3" t="s">
        <v>28</v>
      </c>
      <c r="F3" t="s">
        <v>27</v>
      </c>
      <c r="G3">
        <v>36000</v>
      </c>
      <c r="H3" s="1">
        <v>36436</v>
      </c>
      <c r="I3" s="1">
        <v>42287</v>
      </c>
    </row>
    <row r="4" spans="1:12" x14ac:dyDescent="0.25">
      <c r="A4">
        <v>1003</v>
      </c>
      <c r="B4" t="s">
        <v>6</v>
      </c>
      <c r="C4" t="s">
        <v>7</v>
      </c>
      <c r="D4">
        <v>29</v>
      </c>
      <c r="E4" t="s">
        <v>26</v>
      </c>
      <c r="F4" t="s">
        <v>25</v>
      </c>
      <c r="G4">
        <v>63000</v>
      </c>
      <c r="H4" s="1">
        <v>36711</v>
      </c>
      <c r="I4" s="1">
        <v>42986</v>
      </c>
    </row>
    <row r="5" spans="1:12" x14ac:dyDescent="0.25">
      <c r="A5">
        <v>1004</v>
      </c>
      <c r="B5" t="s">
        <v>13</v>
      </c>
      <c r="C5" t="s">
        <v>12</v>
      </c>
      <c r="D5">
        <v>31</v>
      </c>
      <c r="E5" t="s">
        <v>28</v>
      </c>
      <c r="F5" t="s">
        <v>29</v>
      </c>
      <c r="G5">
        <v>47000</v>
      </c>
      <c r="H5" s="1">
        <v>36530</v>
      </c>
      <c r="I5" s="1">
        <v>42341</v>
      </c>
    </row>
    <row r="6" spans="1:12" x14ac:dyDescent="0.25">
      <c r="A6">
        <v>1005</v>
      </c>
      <c r="B6" t="s">
        <v>14</v>
      </c>
      <c r="C6" t="s">
        <v>15</v>
      </c>
      <c r="D6">
        <v>32</v>
      </c>
      <c r="E6" t="s">
        <v>26</v>
      </c>
      <c r="F6" t="s">
        <v>30</v>
      </c>
      <c r="G6">
        <v>50000</v>
      </c>
      <c r="H6" s="1">
        <v>37017</v>
      </c>
      <c r="I6" s="1">
        <v>42977</v>
      </c>
    </row>
    <row r="7" spans="1:12" x14ac:dyDescent="0.25">
      <c r="A7">
        <v>1006</v>
      </c>
      <c r="B7" t="s">
        <v>8</v>
      </c>
      <c r="C7" t="s">
        <v>9</v>
      </c>
      <c r="D7">
        <v>35</v>
      </c>
      <c r="E7" t="s">
        <v>26</v>
      </c>
      <c r="F7" t="s">
        <v>31</v>
      </c>
      <c r="G7">
        <v>65000</v>
      </c>
      <c r="H7" s="1">
        <v>35040</v>
      </c>
      <c r="I7" s="1">
        <v>41528</v>
      </c>
    </row>
    <row r="8" spans="1:12" x14ac:dyDescent="0.25">
      <c r="A8">
        <v>1007</v>
      </c>
      <c r="B8" t="s">
        <v>33</v>
      </c>
      <c r="C8" t="s">
        <v>34</v>
      </c>
      <c r="D8">
        <v>32</v>
      </c>
      <c r="E8" t="s">
        <v>28</v>
      </c>
      <c r="F8" t="s">
        <v>32</v>
      </c>
      <c r="G8">
        <v>41000</v>
      </c>
      <c r="H8" s="1">
        <v>37933</v>
      </c>
      <c r="I8" s="1">
        <v>41551</v>
      </c>
    </row>
    <row r="9" spans="1:12" x14ac:dyDescent="0.25">
      <c r="A9">
        <v>1008</v>
      </c>
      <c r="B9" t="s">
        <v>16</v>
      </c>
      <c r="C9" t="s">
        <v>17</v>
      </c>
      <c r="D9">
        <v>38</v>
      </c>
      <c r="E9" t="s">
        <v>26</v>
      </c>
      <c r="F9" t="s">
        <v>25</v>
      </c>
      <c r="G9">
        <v>48000</v>
      </c>
      <c r="H9" s="1">
        <v>37416</v>
      </c>
      <c r="I9" s="1">
        <v>42116</v>
      </c>
    </row>
    <row r="10" spans="1:12" x14ac:dyDescent="0.25">
      <c r="A10">
        <v>1009</v>
      </c>
      <c r="B10" t="s">
        <v>10</v>
      </c>
      <c r="C10" t="s">
        <v>11</v>
      </c>
      <c r="D10">
        <v>31</v>
      </c>
      <c r="E10" t="s">
        <v>26</v>
      </c>
      <c r="F10" t="s">
        <v>29</v>
      </c>
      <c r="G10">
        <v>42000</v>
      </c>
      <c r="H10" s="1">
        <v>37843</v>
      </c>
      <c r="I10" s="1">
        <v>40800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17F6E-9452-40AF-AFA2-377600A25F44}">
  <sheetPr codeName="Sheet9">
    <tabColor theme="9"/>
  </sheetPr>
  <dimension ref="A1:L10"/>
  <sheetViews>
    <sheetView workbookViewId="0">
      <selection activeCell="L6" sqref="L6"/>
    </sheetView>
  </sheetViews>
  <sheetFormatPr defaultColWidth="13.7109375" defaultRowHeight="15" x14ac:dyDescent="0.25"/>
  <cols>
    <col min="1" max="1" width="10.7109375" bestFit="1" customWidth="1"/>
    <col min="4" max="4" width="7.7109375" customWidth="1"/>
  </cols>
  <sheetData>
    <row r="1" spans="1:12" x14ac:dyDescent="0.25">
      <c r="A1" t="s">
        <v>20</v>
      </c>
      <c r="B1" t="s">
        <v>0</v>
      </c>
      <c r="C1" t="s">
        <v>1</v>
      </c>
      <c r="D1" t="s">
        <v>23</v>
      </c>
      <c r="E1" t="s">
        <v>24</v>
      </c>
      <c r="F1" t="s">
        <v>21</v>
      </c>
      <c r="G1" t="s">
        <v>22</v>
      </c>
      <c r="H1" t="s">
        <v>36</v>
      </c>
      <c r="I1" t="s">
        <v>37</v>
      </c>
      <c r="J1" t="s">
        <v>77</v>
      </c>
      <c r="K1" t="s">
        <v>78</v>
      </c>
      <c r="L1" t="s">
        <v>79</v>
      </c>
    </row>
    <row r="2" spans="1:12" x14ac:dyDescent="0.25">
      <c r="A2">
        <v>1001</v>
      </c>
      <c r="B2" t="s">
        <v>2</v>
      </c>
      <c r="C2" t="s">
        <v>3</v>
      </c>
      <c r="D2">
        <v>30</v>
      </c>
      <c r="E2" t="s">
        <v>26</v>
      </c>
      <c r="F2" t="s">
        <v>25</v>
      </c>
      <c r="G2">
        <v>45000</v>
      </c>
      <c r="H2" s="1">
        <v>37197</v>
      </c>
      <c r="I2" s="1">
        <v>42253</v>
      </c>
      <c r="J2">
        <f>COUNT(G2:G10)</f>
        <v>9</v>
      </c>
      <c r="K2">
        <f>COUNTIF(G2:G10,"&gt;45000")</f>
        <v>5</v>
      </c>
      <c r="L2">
        <f>COUNTIFS(E2:E10,"FEMALE",D2:D10,"&gt;30")</f>
        <v>2</v>
      </c>
    </row>
    <row r="3" spans="1:12" x14ac:dyDescent="0.25">
      <c r="A3">
        <v>1002</v>
      </c>
      <c r="B3" t="s">
        <v>4</v>
      </c>
      <c r="C3" t="s">
        <v>5</v>
      </c>
      <c r="D3">
        <v>30</v>
      </c>
      <c r="E3" t="s">
        <v>28</v>
      </c>
      <c r="F3" t="s">
        <v>27</v>
      </c>
      <c r="G3">
        <v>36000</v>
      </c>
      <c r="H3" s="1">
        <v>36436</v>
      </c>
      <c r="I3" s="1">
        <v>42287</v>
      </c>
    </row>
    <row r="4" spans="1:12" x14ac:dyDescent="0.25">
      <c r="A4">
        <v>1003</v>
      </c>
      <c r="B4" t="s">
        <v>6</v>
      </c>
      <c r="C4" t="s">
        <v>7</v>
      </c>
      <c r="D4">
        <v>29</v>
      </c>
      <c r="E4" t="s">
        <v>26</v>
      </c>
      <c r="F4" t="s">
        <v>25</v>
      </c>
      <c r="G4">
        <v>63000</v>
      </c>
      <c r="H4" s="1">
        <v>36711</v>
      </c>
      <c r="I4" s="1">
        <v>42986</v>
      </c>
    </row>
    <row r="5" spans="1:12" x14ac:dyDescent="0.25">
      <c r="A5">
        <v>1004</v>
      </c>
      <c r="B5" t="s">
        <v>13</v>
      </c>
      <c r="C5" t="s">
        <v>12</v>
      </c>
      <c r="D5">
        <v>31</v>
      </c>
      <c r="E5" t="s">
        <v>28</v>
      </c>
      <c r="F5" t="s">
        <v>29</v>
      </c>
      <c r="G5">
        <v>47000</v>
      </c>
      <c r="H5" s="1">
        <v>36530</v>
      </c>
      <c r="I5" s="1">
        <v>42341</v>
      </c>
    </row>
    <row r="6" spans="1:12" x14ac:dyDescent="0.25">
      <c r="A6">
        <v>1005</v>
      </c>
      <c r="B6" t="s">
        <v>14</v>
      </c>
      <c r="C6" t="s">
        <v>15</v>
      </c>
      <c r="D6">
        <v>32</v>
      </c>
      <c r="E6" t="s">
        <v>26</v>
      </c>
      <c r="F6" t="s">
        <v>30</v>
      </c>
      <c r="G6">
        <v>50000</v>
      </c>
      <c r="H6" s="1">
        <v>37017</v>
      </c>
      <c r="I6" s="1">
        <v>42977</v>
      </c>
    </row>
    <row r="7" spans="1:12" x14ac:dyDescent="0.25">
      <c r="A7">
        <v>1006</v>
      </c>
      <c r="B7" t="s">
        <v>8</v>
      </c>
      <c r="C7" t="s">
        <v>9</v>
      </c>
      <c r="D7">
        <v>35</v>
      </c>
      <c r="E7" t="s">
        <v>26</v>
      </c>
      <c r="F7" t="s">
        <v>31</v>
      </c>
      <c r="G7">
        <v>65000</v>
      </c>
      <c r="H7" s="1">
        <v>35040</v>
      </c>
      <c r="I7" s="1">
        <v>41528</v>
      </c>
    </row>
    <row r="8" spans="1:12" x14ac:dyDescent="0.25">
      <c r="A8">
        <v>1007</v>
      </c>
      <c r="B8" t="s">
        <v>33</v>
      </c>
      <c r="C8" t="s">
        <v>34</v>
      </c>
      <c r="D8">
        <v>32</v>
      </c>
      <c r="E8" t="s">
        <v>28</v>
      </c>
      <c r="F8" t="s">
        <v>32</v>
      </c>
      <c r="G8">
        <v>41000</v>
      </c>
      <c r="H8" s="1">
        <v>37933</v>
      </c>
      <c r="I8" s="1">
        <v>41551</v>
      </c>
    </row>
    <row r="9" spans="1:12" x14ac:dyDescent="0.25">
      <c r="A9">
        <v>1008</v>
      </c>
      <c r="B9" t="s">
        <v>16</v>
      </c>
      <c r="C9" t="s">
        <v>17</v>
      </c>
      <c r="D9">
        <v>38</v>
      </c>
      <c r="E9" t="s">
        <v>26</v>
      </c>
      <c r="F9" t="s">
        <v>25</v>
      </c>
      <c r="G9">
        <v>48000</v>
      </c>
      <c r="H9" s="1">
        <v>37416</v>
      </c>
      <c r="I9" s="1">
        <v>42116</v>
      </c>
    </row>
    <row r="10" spans="1:12" x14ac:dyDescent="0.25">
      <c r="A10">
        <v>1009</v>
      </c>
      <c r="B10" t="s">
        <v>10</v>
      </c>
      <c r="C10" t="s">
        <v>11</v>
      </c>
      <c r="D10">
        <v>31</v>
      </c>
      <c r="E10" t="s">
        <v>26</v>
      </c>
      <c r="F10" t="s">
        <v>29</v>
      </c>
      <c r="G10">
        <v>42000</v>
      </c>
      <c r="H10" s="1">
        <v>37843</v>
      </c>
      <c r="I10" s="1">
        <v>40800</v>
      </c>
    </row>
  </sheetData>
  <autoFilter ref="A1:L10" xr:uid="{8D217F6E-9452-40AF-AFA2-377600A25F44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ACEFD-E950-4ACE-A7FD-83ED10CB531A}">
  <sheetPr codeName="Sheet11">
    <tabColor theme="9"/>
  </sheetPr>
  <dimension ref="A1:K10"/>
  <sheetViews>
    <sheetView tabSelected="1" workbookViewId="0">
      <selection activeCell="B6" sqref="B6"/>
    </sheetView>
  </sheetViews>
  <sheetFormatPr defaultRowHeight="15" x14ac:dyDescent="0.25"/>
  <cols>
    <col min="8" max="8" width="14.42578125" customWidth="1"/>
    <col min="9" max="9" width="13.28515625" customWidth="1"/>
  </cols>
  <sheetData>
    <row r="1" spans="1:11" x14ac:dyDescent="0.25">
      <c r="A1" t="s">
        <v>20</v>
      </c>
      <c r="B1" t="s">
        <v>0</v>
      </c>
      <c r="C1" t="s">
        <v>1</v>
      </c>
      <c r="D1" t="s">
        <v>23</v>
      </c>
      <c r="E1" t="s">
        <v>24</v>
      </c>
      <c r="F1" t="s">
        <v>21</v>
      </c>
      <c r="G1" t="s">
        <v>22</v>
      </c>
      <c r="H1" t="s">
        <v>36</v>
      </c>
      <c r="I1" t="s">
        <v>37</v>
      </c>
      <c r="J1" t="s">
        <v>84</v>
      </c>
      <c r="K1" t="s">
        <v>85</v>
      </c>
    </row>
    <row r="2" spans="1:11" x14ac:dyDescent="0.25">
      <c r="A2">
        <v>1001</v>
      </c>
      <c r="B2" t="s">
        <v>2</v>
      </c>
      <c r="C2" t="s">
        <v>3</v>
      </c>
      <c r="D2">
        <v>30</v>
      </c>
      <c r="E2" t="s">
        <v>26</v>
      </c>
      <c r="F2" t="s">
        <v>25</v>
      </c>
      <c r="G2">
        <v>45000</v>
      </c>
      <c r="H2" s="3">
        <v>36933</v>
      </c>
      <c r="I2" s="3">
        <v>42253</v>
      </c>
      <c r="J2">
        <f>_xlfn.DAYS(I2,H2)</f>
        <v>5320</v>
      </c>
      <c r="K2">
        <f>NETWORKDAYS(H2,I2)</f>
        <v>3800</v>
      </c>
    </row>
    <row r="3" spans="1:11" x14ac:dyDescent="0.25">
      <c r="A3">
        <v>1002</v>
      </c>
      <c r="B3" t="s">
        <v>4</v>
      </c>
      <c r="C3" t="s">
        <v>5</v>
      </c>
      <c r="D3">
        <v>30</v>
      </c>
      <c r="E3" t="s">
        <v>28</v>
      </c>
      <c r="F3" t="s">
        <v>27</v>
      </c>
      <c r="G3">
        <v>36000</v>
      </c>
      <c r="H3" s="3" t="s">
        <v>49</v>
      </c>
      <c r="I3" s="3">
        <v>42287</v>
      </c>
      <c r="J3">
        <f t="shared" ref="J3:J10" si="0">_xlfn.DAYS(I3,H3)</f>
        <v>6058</v>
      </c>
      <c r="K3">
        <f t="shared" ref="K3:K10" si="1">NETWORKDAYS(H3,I3)</f>
        <v>4328</v>
      </c>
    </row>
    <row r="4" spans="1:11" x14ac:dyDescent="0.25">
      <c r="A4">
        <v>1003</v>
      </c>
      <c r="B4" t="s">
        <v>6</v>
      </c>
      <c r="C4" t="s">
        <v>7</v>
      </c>
      <c r="D4">
        <v>29</v>
      </c>
      <c r="E4" t="s">
        <v>26</v>
      </c>
      <c r="F4" t="s">
        <v>25</v>
      </c>
      <c r="G4">
        <v>63000</v>
      </c>
      <c r="H4" s="3" t="s">
        <v>50</v>
      </c>
      <c r="I4" s="3">
        <v>42986</v>
      </c>
      <c r="J4">
        <f t="shared" si="0"/>
        <v>6363</v>
      </c>
      <c r="K4">
        <f t="shared" si="1"/>
        <v>4546</v>
      </c>
    </row>
    <row r="5" spans="1:11" x14ac:dyDescent="0.25">
      <c r="A5">
        <v>1004</v>
      </c>
      <c r="B5" t="s">
        <v>13</v>
      </c>
      <c r="C5" t="s">
        <v>12</v>
      </c>
      <c r="D5">
        <v>31</v>
      </c>
      <c r="E5" t="s">
        <v>28</v>
      </c>
      <c r="F5" t="s">
        <v>29</v>
      </c>
      <c r="G5">
        <v>47000</v>
      </c>
      <c r="H5" s="3" t="s">
        <v>51</v>
      </c>
      <c r="I5" s="3">
        <v>41611</v>
      </c>
      <c r="J5">
        <f t="shared" si="0"/>
        <v>4964</v>
      </c>
      <c r="K5">
        <f t="shared" si="1"/>
        <v>3547</v>
      </c>
    </row>
    <row r="6" spans="1:11" x14ac:dyDescent="0.25">
      <c r="A6">
        <v>1005</v>
      </c>
      <c r="B6" t="s">
        <v>14</v>
      </c>
      <c r="C6" t="s">
        <v>15</v>
      </c>
      <c r="D6">
        <v>32</v>
      </c>
      <c r="E6" t="s">
        <v>26</v>
      </c>
      <c r="F6" t="s">
        <v>30</v>
      </c>
      <c r="G6">
        <v>50000</v>
      </c>
      <c r="H6" s="3" t="s">
        <v>92</v>
      </c>
      <c r="I6" s="3">
        <v>42989</v>
      </c>
      <c r="J6">
        <f t="shared" si="0"/>
        <v>6307</v>
      </c>
      <c r="K6">
        <f t="shared" si="1"/>
        <v>4506</v>
      </c>
    </row>
    <row r="7" spans="1:11" x14ac:dyDescent="0.25">
      <c r="A7">
        <v>1006</v>
      </c>
      <c r="B7" t="s">
        <v>8</v>
      </c>
      <c r="C7" t="s">
        <v>9</v>
      </c>
      <c r="D7">
        <v>35</v>
      </c>
      <c r="E7" t="s">
        <v>26</v>
      </c>
      <c r="F7" t="s">
        <v>31</v>
      </c>
      <c r="G7">
        <v>65000</v>
      </c>
      <c r="H7" s="3" t="s">
        <v>52</v>
      </c>
      <c r="I7" s="3">
        <v>42258</v>
      </c>
      <c r="J7">
        <f t="shared" si="0"/>
        <v>5211</v>
      </c>
      <c r="K7">
        <f t="shared" si="1"/>
        <v>3724</v>
      </c>
    </row>
    <row r="8" spans="1:11" x14ac:dyDescent="0.25">
      <c r="A8">
        <v>1007</v>
      </c>
      <c r="B8" t="s">
        <v>33</v>
      </c>
      <c r="C8" t="s">
        <v>34</v>
      </c>
      <c r="D8">
        <v>32</v>
      </c>
      <c r="E8" t="s">
        <v>28</v>
      </c>
      <c r="F8" t="s">
        <v>32</v>
      </c>
      <c r="G8">
        <v>41000</v>
      </c>
      <c r="H8" s="3" t="s">
        <v>53</v>
      </c>
      <c r="I8" s="3">
        <v>42258</v>
      </c>
      <c r="J8">
        <f t="shared" si="0"/>
        <v>4414</v>
      </c>
      <c r="K8">
        <f t="shared" si="1"/>
        <v>3155</v>
      </c>
    </row>
    <row r="9" spans="1:11" x14ac:dyDescent="0.25">
      <c r="A9">
        <v>1008</v>
      </c>
      <c r="B9" t="s">
        <v>16</v>
      </c>
      <c r="C9" t="s">
        <v>17</v>
      </c>
      <c r="D9">
        <v>38</v>
      </c>
      <c r="E9" t="s">
        <v>26</v>
      </c>
      <c r="F9" t="s">
        <v>25</v>
      </c>
      <c r="G9">
        <v>48000</v>
      </c>
      <c r="H9" s="3" t="s">
        <v>54</v>
      </c>
      <c r="I9" s="3">
        <v>42116</v>
      </c>
      <c r="J9">
        <f t="shared" si="0"/>
        <v>4611</v>
      </c>
      <c r="K9">
        <f t="shared" si="1"/>
        <v>3294</v>
      </c>
    </row>
    <row r="10" spans="1:11" x14ac:dyDescent="0.25">
      <c r="A10">
        <v>1009</v>
      </c>
      <c r="B10" t="s">
        <v>10</v>
      </c>
      <c r="C10" t="s">
        <v>11</v>
      </c>
      <c r="D10">
        <v>31</v>
      </c>
      <c r="E10" t="s">
        <v>26</v>
      </c>
      <c r="F10" t="s">
        <v>29</v>
      </c>
      <c r="G10">
        <v>42000</v>
      </c>
      <c r="H10" s="3" t="s">
        <v>55</v>
      </c>
      <c r="I10" s="3">
        <v>42117</v>
      </c>
      <c r="J10">
        <f t="shared" si="0"/>
        <v>4215</v>
      </c>
      <c r="K10">
        <f t="shared" si="1"/>
        <v>3012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Max-Min</vt:lpstr>
      <vt:lpstr>IF-IFS</vt:lpstr>
      <vt:lpstr>Len</vt:lpstr>
      <vt:lpstr>LeftRight</vt:lpstr>
      <vt:lpstr>DateToText</vt:lpstr>
      <vt:lpstr>TRIM</vt:lpstr>
      <vt:lpstr>Substitute</vt:lpstr>
      <vt:lpstr>Concatenate</vt:lpstr>
      <vt:lpstr>SUM-SumIF</vt:lpstr>
      <vt:lpstr>Count-CountIF</vt:lpstr>
      <vt:lpstr>Days-NetworkDays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Freberg</dc:creator>
  <cp:lastModifiedBy>Ali Almeery</cp:lastModifiedBy>
  <dcterms:created xsi:type="dcterms:W3CDTF">2021-12-16T14:18:34Z</dcterms:created>
  <dcterms:modified xsi:type="dcterms:W3CDTF">2026-04-27T02:34:16Z</dcterms:modified>
</cp:coreProperties>
</file>